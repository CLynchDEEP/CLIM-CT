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\\10.18.8.65\RedirectedFolders$\LynchCary\Downloads\"/>
    </mc:Choice>
  </mc:AlternateContent>
  <bookViews>
    <workbookView xWindow="0" yWindow="0" windowWidth="22635" windowHeight="9030" tabRatio="760" activeTab="2"/>
  </bookViews>
  <sheets>
    <sheet name="Sheet1" sheetId="1" r:id="rId1"/>
    <sheet name="pre-tem_raw-month" sheetId="8" r:id="rId2"/>
    <sheet name="detrended-all-data" sheetId="9" r:id="rId3"/>
    <sheet name="Sheet3" sheetId="10" r:id="rId4"/>
    <sheet name="CT_tempanom_all" sheetId="3" r:id="rId5"/>
    <sheet name="CT_all_sector" sheetId="5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" i="5" l="1"/>
  <c r="AA4" i="5"/>
  <c r="AB4" i="5"/>
  <c r="AC4" i="5"/>
  <c r="AD4" i="5"/>
  <c r="AE4" i="5"/>
  <c r="AF4" i="5"/>
  <c r="AG4" i="5"/>
  <c r="Z5" i="5"/>
  <c r="AA5" i="5"/>
  <c r="AB5" i="5"/>
  <c r="AC5" i="5"/>
  <c r="AD5" i="5"/>
  <c r="AE5" i="5"/>
  <c r="AF5" i="5"/>
  <c r="AG5" i="5"/>
  <c r="Z6" i="5"/>
  <c r="AA6" i="5"/>
  <c r="AB6" i="5"/>
  <c r="AC6" i="5"/>
  <c r="AD6" i="5"/>
  <c r="AE6" i="5"/>
  <c r="AF6" i="5"/>
  <c r="AG6" i="5"/>
  <c r="Z7" i="5"/>
  <c r="AA7" i="5"/>
  <c r="AB7" i="5"/>
  <c r="AC7" i="5"/>
  <c r="AD7" i="5"/>
  <c r="AE7" i="5"/>
  <c r="AF7" i="5"/>
  <c r="AG7" i="5"/>
  <c r="Z8" i="5"/>
  <c r="AA8" i="5"/>
  <c r="AB8" i="5"/>
  <c r="AC8" i="5"/>
  <c r="AD8" i="5"/>
  <c r="AE8" i="5"/>
  <c r="AF8" i="5"/>
  <c r="AG8" i="5"/>
  <c r="Z9" i="5"/>
  <c r="AA9" i="5"/>
  <c r="AB9" i="5"/>
  <c r="AC9" i="5"/>
  <c r="AD9" i="5"/>
  <c r="AE9" i="5"/>
  <c r="AF9" i="5"/>
  <c r="AG9" i="5"/>
  <c r="Z10" i="5"/>
  <c r="AA10" i="5"/>
  <c r="AB10" i="5"/>
  <c r="AC10" i="5"/>
  <c r="AD10" i="5"/>
  <c r="AE10" i="5"/>
  <c r="AF10" i="5"/>
  <c r="AG10" i="5"/>
  <c r="Z11" i="5"/>
  <c r="AA11" i="5"/>
  <c r="AB11" i="5"/>
  <c r="AC11" i="5"/>
  <c r="AD11" i="5"/>
  <c r="AE11" i="5"/>
  <c r="AF11" i="5"/>
  <c r="AG11" i="5"/>
  <c r="Z12" i="5"/>
  <c r="AA12" i="5"/>
  <c r="AB12" i="5"/>
  <c r="AC12" i="5"/>
  <c r="AD12" i="5"/>
  <c r="AE12" i="5"/>
  <c r="AF12" i="5"/>
  <c r="AG12" i="5"/>
  <c r="Z13" i="5"/>
  <c r="AA13" i="5"/>
  <c r="AB13" i="5"/>
  <c r="AC13" i="5"/>
  <c r="AD13" i="5"/>
  <c r="AE13" i="5"/>
  <c r="AF13" i="5"/>
  <c r="AG13" i="5"/>
  <c r="Z14" i="5"/>
  <c r="AA14" i="5"/>
  <c r="AB14" i="5"/>
  <c r="AC14" i="5"/>
  <c r="AD14" i="5"/>
  <c r="AE14" i="5"/>
  <c r="AF14" i="5"/>
  <c r="AG14" i="5"/>
  <c r="Z15" i="5"/>
  <c r="AA15" i="5"/>
  <c r="AB15" i="5"/>
  <c r="AC15" i="5"/>
  <c r="AD15" i="5"/>
  <c r="AE15" i="5"/>
  <c r="AF15" i="5"/>
  <c r="AG15" i="5"/>
  <c r="Z16" i="5"/>
  <c r="AA16" i="5"/>
  <c r="AB16" i="5"/>
  <c r="AC16" i="5"/>
  <c r="AD16" i="5"/>
  <c r="AE16" i="5"/>
  <c r="AF16" i="5"/>
  <c r="AG16" i="5"/>
  <c r="Z17" i="5"/>
  <c r="AA17" i="5"/>
  <c r="AB17" i="5"/>
  <c r="AC17" i="5"/>
  <c r="AD17" i="5"/>
  <c r="AE17" i="5"/>
  <c r="AF17" i="5"/>
  <c r="AG17" i="5"/>
  <c r="Z18" i="5"/>
  <c r="AA18" i="5"/>
  <c r="AB18" i="5"/>
  <c r="AC18" i="5"/>
  <c r="AD18" i="5"/>
  <c r="AE18" i="5"/>
  <c r="AF18" i="5"/>
  <c r="AG18" i="5"/>
  <c r="Z19" i="5"/>
  <c r="AA19" i="5"/>
  <c r="AB19" i="5"/>
  <c r="AC19" i="5"/>
  <c r="AD19" i="5"/>
  <c r="AE19" i="5"/>
  <c r="AF19" i="5"/>
  <c r="AG19" i="5"/>
  <c r="Z20" i="5"/>
  <c r="AA20" i="5"/>
  <c r="AB20" i="5"/>
  <c r="AC20" i="5"/>
  <c r="AD20" i="5"/>
  <c r="AE20" i="5"/>
  <c r="AF20" i="5"/>
  <c r="AG20" i="5"/>
  <c r="Z21" i="5"/>
  <c r="AA21" i="5"/>
  <c r="AB21" i="5"/>
  <c r="AC21" i="5"/>
  <c r="AD21" i="5"/>
  <c r="AE21" i="5"/>
  <c r="AF21" i="5"/>
  <c r="AG21" i="5"/>
  <c r="Z22" i="5"/>
  <c r="AA22" i="5"/>
  <c r="AB22" i="5"/>
  <c r="AC22" i="5"/>
  <c r="AD22" i="5"/>
  <c r="AE22" i="5"/>
  <c r="AF22" i="5"/>
  <c r="AG22" i="5"/>
  <c r="Z23" i="5"/>
  <c r="AA23" i="5"/>
  <c r="AB23" i="5"/>
  <c r="AC23" i="5"/>
  <c r="AD23" i="5"/>
  <c r="AE23" i="5"/>
  <c r="AF23" i="5"/>
  <c r="AG23" i="5"/>
  <c r="Z24" i="5"/>
  <c r="AA24" i="5"/>
  <c r="AB24" i="5"/>
  <c r="AC24" i="5"/>
  <c r="AD24" i="5"/>
  <c r="AE24" i="5"/>
  <c r="AF24" i="5"/>
  <c r="AG24" i="5"/>
  <c r="Z25" i="5"/>
  <c r="AA25" i="5"/>
  <c r="AB25" i="5"/>
  <c r="AC25" i="5"/>
  <c r="AD25" i="5"/>
  <c r="AE25" i="5"/>
  <c r="AF25" i="5"/>
  <c r="AG25" i="5"/>
  <c r="Z26" i="5"/>
  <c r="AA26" i="5"/>
  <c r="AB26" i="5"/>
  <c r="AC26" i="5"/>
  <c r="AD26" i="5"/>
  <c r="AE26" i="5"/>
  <c r="AF26" i="5"/>
  <c r="AG26" i="5"/>
  <c r="Z27" i="5"/>
  <c r="AA27" i="5"/>
  <c r="AB27" i="5"/>
  <c r="AC27" i="5"/>
  <c r="AD27" i="5"/>
  <c r="AE27" i="5"/>
  <c r="AF27" i="5"/>
  <c r="AG27" i="5"/>
  <c r="AG3" i="5"/>
  <c r="AF3" i="5"/>
  <c r="AE3" i="5"/>
  <c r="AD3" i="5"/>
  <c r="AC3" i="5"/>
  <c r="AB3" i="5"/>
  <c r="AA3" i="5"/>
  <c r="Z3" i="5"/>
  <c r="Z2" i="5"/>
  <c r="CK2" i="8"/>
  <c r="CL2" i="8"/>
  <c r="CM2" i="8"/>
  <c r="CN2" i="8"/>
  <c r="CO2" i="8"/>
  <c r="CP2" i="8"/>
  <c r="CQ2" i="8"/>
  <c r="CR2" i="8"/>
  <c r="CS2" i="8"/>
  <c r="CT2" i="8"/>
  <c r="CU2" i="8"/>
  <c r="CV2" i="8"/>
  <c r="CW2" i="8"/>
  <c r="CX2" i="8"/>
  <c r="CY2" i="8"/>
  <c r="CZ2" i="8"/>
  <c r="DA2" i="8"/>
  <c r="DB2" i="8"/>
  <c r="DC2" i="8"/>
  <c r="DD2" i="8"/>
  <c r="DE2" i="8"/>
  <c r="DF2" i="8"/>
  <c r="DG2" i="8"/>
  <c r="DH2" i="8"/>
  <c r="DI2" i="8"/>
  <c r="DJ2" i="8"/>
  <c r="DK2" i="8"/>
  <c r="DL2" i="8"/>
  <c r="DM2" i="8"/>
  <c r="DN2" i="8"/>
  <c r="DO2" i="8"/>
  <c r="DP2" i="8"/>
  <c r="DQ2" i="8"/>
  <c r="DR2" i="8"/>
  <c r="DS2" i="8"/>
  <c r="DT2" i="8"/>
  <c r="DU2" i="8"/>
  <c r="DV2" i="8"/>
  <c r="DW2" i="8"/>
  <c r="DX2" i="8"/>
  <c r="DY2" i="8"/>
  <c r="CK3" i="8"/>
  <c r="CL3" i="8"/>
  <c r="CM3" i="8"/>
  <c r="CN3" i="8"/>
  <c r="CO3" i="8"/>
  <c r="CP3" i="8"/>
  <c r="CQ3" i="8"/>
  <c r="CR3" i="8"/>
  <c r="CS3" i="8"/>
  <c r="CT3" i="8"/>
  <c r="CU3" i="8"/>
  <c r="CV3" i="8"/>
  <c r="CW3" i="8"/>
  <c r="CX3" i="8"/>
  <c r="CY3" i="8"/>
  <c r="CZ3" i="8"/>
  <c r="DA3" i="8"/>
  <c r="DB3" i="8"/>
  <c r="DC3" i="8"/>
  <c r="DD3" i="8"/>
  <c r="DE3" i="8"/>
  <c r="DF3" i="8"/>
  <c r="DG3" i="8"/>
  <c r="DH3" i="8"/>
  <c r="DI3" i="8"/>
  <c r="DJ3" i="8"/>
  <c r="DK3" i="8"/>
  <c r="DL3" i="8"/>
  <c r="DM3" i="8"/>
  <c r="DN3" i="8"/>
  <c r="DO3" i="8"/>
  <c r="DP3" i="8"/>
  <c r="DQ3" i="8"/>
  <c r="DR3" i="8"/>
  <c r="DS3" i="8"/>
  <c r="DT3" i="8"/>
  <c r="DU3" i="8"/>
  <c r="DV3" i="8"/>
  <c r="DW3" i="8"/>
  <c r="DX3" i="8"/>
  <c r="DY3" i="8"/>
  <c r="CK4" i="8"/>
  <c r="CL4" i="8"/>
  <c r="CM4" i="8"/>
  <c r="CN4" i="8"/>
  <c r="CO4" i="8"/>
  <c r="CP4" i="8"/>
  <c r="CQ4" i="8"/>
  <c r="CR4" i="8"/>
  <c r="CS4" i="8"/>
  <c r="CT4" i="8"/>
  <c r="CU4" i="8"/>
  <c r="CV4" i="8"/>
  <c r="CW4" i="8"/>
  <c r="CX4" i="8"/>
  <c r="CY4" i="8"/>
  <c r="CZ4" i="8"/>
  <c r="DA4" i="8"/>
  <c r="DB4" i="8"/>
  <c r="DC4" i="8"/>
  <c r="DD4" i="8"/>
  <c r="DE4" i="8"/>
  <c r="DF4" i="8"/>
  <c r="DG4" i="8"/>
  <c r="DH4" i="8"/>
  <c r="DI4" i="8"/>
  <c r="DJ4" i="8"/>
  <c r="DK4" i="8"/>
  <c r="DL4" i="8"/>
  <c r="DM4" i="8"/>
  <c r="DN4" i="8"/>
  <c r="DO4" i="8"/>
  <c r="DP4" i="8"/>
  <c r="DQ4" i="8"/>
  <c r="DR4" i="8"/>
  <c r="DS4" i="8"/>
  <c r="DT4" i="8"/>
  <c r="DU4" i="8"/>
  <c r="DV4" i="8"/>
  <c r="DW4" i="8"/>
  <c r="DX4" i="8"/>
  <c r="DY4" i="8"/>
  <c r="CK5" i="8"/>
  <c r="CL5" i="8"/>
  <c r="CM5" i="8"/>
  <c r="CN5" i="8"/>
  <c r="CO5" i="8"/>
  <c r="CP5" i="8"/>
  <c r="CQ5" i="8"/>
  <c r="CR5" i="8"/>
  <c r="CS5" i="8"/>
  <c r="CT5" i="8"/>
  <c r="CU5" i="8"/>
  <c r="CV5" i="8"/>
  <c r="CW5" i="8"/>
  <c r="CX5" i="8"/>
  <c r="CY5" i="8"/>
  <c r="CZ5" i="8"/>
  <c r="DA5" i="8"/>
  <c r="DB5" i="8"/>
  <c r="DC5" i="8"/>
  <c r="DD5" i="8"/>
  <c r="DE5" i="8"/>
  <c r="DF5" i="8"/>
  <c r="DG5" i="8"/>
  <c r="DH5" i="8"/>
  <c r="DI5" i="8"/>
  <c r="DJ5" i="8"/>
  <c r="DK5" i="8"/>
  <c r="DL5" i="8"/>
  <c r="DM5" i="8"/>
  <c r="DN5" i="8"/>
  <c r="DO5" i="8"/>
  <c r="DP5" i="8"/>
  <c r="DQ5" i="8"/>
  <c r="DR5" i="8"/>
  <c r="DS5" i="8"/>
  <c r="DT5" i="8"/>
  <c r="DU5" i="8"/>
  <c r="DV5" i="8"/>
  <c r="DW5" i="8"/>
  <c r="DX5" i="8"/>
  <c r="DY5" i="8"/>
  <c r="CK6" i="8"/>
  <c r="CL6" i="8"/>
  <c r="CM6" i="8"/>
  <c r="CN6" i="8"/>
  <c r="CO6" i="8"/>
  <c r="CP6" i="8"/>
  <c r="CQ6" i="8"/>
  <c r="CR6" i="8"/>
  <c r="CS6" i="8"/>
  <c r="CT6" i="8"/>
  <c r="CU6" i="8"/>
  <c r="CV6" i="8"/>
  <c r="CW6" i="8"/>
  <c r="CX6" i="8"/>
  <c r="CY6" i="8"/>
  <c r="CZ6" i="8"/>
  <c r="DA6" i="8"/>
  <c r="DB6" i="8"/>
  <c r="DC6" i="8"/>
  <c r="DD6" i="8"/>
  <c r="DE6" i="8"/>
  <c r="DF6" i="8"/>
  <c r="DG6" i="8"/>
  <c r="DH6" i="8"/>
  <c r="DI6" i="8"/>
  <c r="DJ6" i="8"/>
  <c r="DK6" i="8"/>
  <c r="DL6" i="8"/>
  <c r="DM6" i="8"/>
  <c r="DN6" i="8"/>
  <c r="DO6" i="8"/>
  <c r="DP6" i="8"/>
  <c r="DQ6" i="8"/>
  <c r="DR6" i="8"/>
  <c r="DS6" i="8"/>
  <c r="DT6" i="8"/>
  <c r="DU6" i="8"/>
  <c r="DV6" i="8"/>
  <c r="DW6" i="8"/>
  <c r="DX6" i="8"/>
  <c r="DY6" i="8"/>
  <c r="CK7" i="8"/>
  <c r="CL7" i="8"/>
  <c r="CM7" i="8"/>
  <c r="CN7" i="8"/>
  <c r="CO7" i="8"/>
  <c r="CP7" i="8"/>
  <c r="CQ7" i="8"/>
  <c r="CR7" i="8"/>
  <c r="CS7" i="8"/>
  <c r="CT7" i="8"/>
  <c r="CU7" i="8"/>
  <c r="CV7" i="8"/>
  <c r="CW7" i="8"/>
  <c r="CX7" i="8"/>
  <c r="CY7" i="8"/>
  <c r="CZ7" i="8"/>
  <c r="DA7" i="8"/>
  <c r="DB7" i="8"/>
  <c r="DC7" i="8"/>
  <c r="DD7" i="8"/>
  <c r="DE7" i="8"/>
  <c r="DF7" i="8"/>
  <c r="DG7" i="8"/>
  <c r="DH7" i="8"/>
  <c r="DI7" i="8"/>
  <c r="DJ7" i="8"/>
  <c r="DK7" i="8"/>
  <c r="DL7" i="8"/>
  <c r="DM7" i="8"/>
  <c r="DN7" i="8"/>
  <c r="DO7" i="8"/>
  <c r="DP7" i="8"/>
  <c r="DQ7" i="8"/>
  <c r="DR7" i="8"/>
  <c r="DS7" i="8"/>
  <c r="DT7" i="8"/>
  <c r="DU7" i="8"/>
  <c r="DV7" i="8"/>
  <c r="DW7" i="8"/>
  <c r="DX7" i="8"/>
  <c r="DY7" i="8"/>
  <c r="CK8" i="8"/>
  <c r="CL8" i="8"/>
  <c r="CM8" i="8"/>
  <c r="CN8" i="8"/>
  <c r="CO8" i="8"/>
  <c r="CP8" i="8"/>
  <c r="CQ8" i="8"/>
  <c r="CR8" i="8"/>
  <c r="CS8" i="8"/>
  <c r="CT8" i="8"/>
  <c r="CU8" i="8"/>
  <c r="CV8" i="8"/>
  <c r="CW8" i="8"/>
  <c r="CX8" i="8"/>
  <c r="CY8" i="8"/>
  <c r="CZ8" i="8"/>
  <c r="DA8" i="8"/>
  <c r="DB8" i="8"/>
  <c r="DC8" i="8"/>
  <c r="DD8" i="8"/>
  <c r="DE8" i="8"/>
  <c r="DF8" i="8"/>
  <c r="DG8" i="8"/>
  <c r="DH8" i="8"/>
  <c r="DI8" i="8"/>
  <c r="DJ8" i="8"/>
  <c r="DK8" i="8"/>
  <c r="DL8" i="8"/>
  <c r="DM8" i="8"/>
  <c r="DN8" i="8"/>
  <c r="DO8" i="8"/>
  <c r="DP8" i="8"/>
  <c r="DQ8" i="8"/>
  <c r="DR8" i="8"/>
  <c r="DS8" i="8"/>
  <c r="DT8" i="8"/>
  <c r="DU8" i="8"/>
  <c r="DV8" i="8"/>
  <c r="DW8" i="8"/>
  <c r="DX8" i="8"/>
  <c r="DY8" i="8"/>
  <c r="CK9" i="8"/>
  <c r="CL9" i="8"/>
  <c r="CM9" i="8"/>
  <c r="CN9" i="8"/>
  <c r="CO9" i="8"/>
  <c r="CP9" i="8"/>
  <c r="CQ9" i="8"/>
  <c r="CR9" i="8"/>
  <c r="CS9" i="8"/>
  <c r="CT9" i="8"/>
  <c r="CU9" i="8"/>
  <c r="CV9" i="8"/>
  <c r="CW9" i="8"/>
  <c r="CX9" i="8"/>
  <c r="CY9" i="8"/>
  <c r="CZ9" i="8"/>
  <c r="DA9" i="8"/>
  <c r="DB9" i="8"/>
  <c r="DC9" i="8"/>
  <c r="DD9" i="8"/>
  <c r="DE9" i="8"/>
  <c r="DF9" i="8"/>
  <c r="DG9" i="8"/>
  <c r="DH9" i="8"/>
  <c r="DI9" i="8"/>
  <c r="DJ9" i="8"/>
  <c r="DK9" i="8"/>
  <c r="DL9" i="8"/>
  <c r="DM9" i="8"/>
  <c r="DN9" i="8"/>
  <c r="DO9" i="8"/>
  <c r="DP9" i="8"/>
  <c r="DQ9" i="8"/>
  <c r="DR9" i="8"/>
  <c r="DS9" i="8"/>
  <c r="DT9" i="8"/>
  <c r="DU9" i="8"/>
  <c r="DV9" i="8"/>
  <c r="DW9" i="8"/>
  <c r="DX9" i="8"/>
  <c r="DY9" i="8"/>
  <c r="CK10" i="8"/>
  <c r="CL10" i="8"/>
  <c r="CM10" i="8"/>
  <c r="CN10" i="8"/>
  <c r="CO10" i="8"/>
  <c r="CP10" i="8"/>
  <c r="CQ10" i="8"/>
  <c r="CR10" i="8"/>
  <c r="CS10" i="8"/>
  <c r="CT10" i="8"/>
  <c r="CU10" i="8"/>
  <c r="CV10" i="8"/>
  <c r="CW10" i="8"/>
  <c r="CX10" i="8"/>
  <c r="CY10" i="8"/>
  <c r="CZ10" i="8"/>
  <c r="DA10" i="8"/>
  <c r="DB10" i="8"/>
  <c r="DC10" i="8"/>
  <c r="DD10" i="8"/>
  <c r="DE10" i="8"/>
  <c r="DF10" i="8"/>
  <c r="DG10" i="8"/>
  <c r="DH10" i="8"/>
  <c r="DI10" i="8"/>
  <c r="DJ10" i="8"/>
  <c r="DK10" i="8"/>
  <c r="DL10" i="8"/>
  <c r="DM10" i="8"/>
  <c r="DN10" i="8"/>
  <c r="DO10" i="8"/>
  <c r="DP10" i="8"/>
  <c r="DQ10" i="8"/>
  <c r="DR10" i="8"/>
  <c r="DS10" i="8"/>
  <c r="DT10" i="8"/>
  <c r="DU10" i="8"/>
  <c r="DV10" i="8"/>
  <c r="DW10" i="8"/>
  <c r="DX10" i="8"/>
  <c r="DY10" i="8"/>
  <c r="CK11" i="8"/>
  <c r="CL11" i="8"/>
  <c r="CM11" i="8"/>
  <c r="CN11" i="8"/>
  <c r="CO11" i="8"/>
  <c r="CP11" i="8"/>
  <c r="CQ11" i="8"/>
  <c r="CR11" i="8"/>
  <c r="CS11" i="8"/>
  <c r="CT11" i="8"/>
  <c r="CU11" i="8"/>
  <c r="CV11" i="8"/>
  <c r="CW11" i="8"/>
  <c r="CX11" i="8"/>
  <c r="CY11" i="8"/>
  <c r="CZ11" i="8"/>
  <c r="DA11" i="8"/>
  <c r="DB11" i="8"/>
  <c r="DC11" i="8"/>
  <c r="DD11" i="8"/>
  <c r="DE11" i="8"/>
  <c r="DF11" i="8"/>
  <c r="DG11" i="8"/>
  <c r="DH11" i="8"/>
  <c r="DI11" i="8"/>
  <c r="DJ11" i="8"/>
  <c r="DK11" i="8"/>
  <c r="DL11" i="8"/>
  <c r="DM11" i="8"/>
  <c r="DN11" i="8"/>
  <c r="DO11" i="8"/>
  <c r="DP11" i="8"/>
  <c r="DQ11" i="8"/>
  <c r="DR11" i="8"/>
  <c r="DS11" i="8"/>
  <c r="DT11" i="8"/>
  <c r="DU11" i="8"/>
  <c r="DV11" i="8"/>
  <c r="DW11" i="8"/>
  <c r="DX11" i="8"/>
  <c r="DY11" i="8"/>
  <c r="CK12" i="8"/>
  <c r="CL12" i="8"/>
  <c r="CM12" i="8"/>
  <c r="CN12" i="8"/>
  <c r="CO12" i="8"/>
  <c r="CP12" i="8"/>
  <c r="CQ12" i="8"/>
  <c r="CR12" i="8"/>
  <c r="CS12" i="8"/>
  <c r="CT12" i="8"/>
  <c r="CU12" i="8"/>
  <c r="CV12" i="8"/>
  <c r="CW12" i="8"/>
  <c r="CX12" i="8"/>
  <c r="CY12" i="8"/>
  <c r="CZ12" i="8"/>
  <c r="DA12" i="8"/>
  <c r="DB12" i="8"/>
  <c r="DC12" i="8"/>
  <c r="DD12" i="8"/>
  <c r="DE12" i="8"/>
  <c r="DF12" i="8"/>
  <c r="DG12" i="8"/>
  <c r="DH12" i="8"/>
  <c r="DI12" i="8"/>
  <c r="DJ12" i="8"/>
  <c r="DK12" i="8"/>
  <c r="DL12" i="8"/>
  <c r="DM12" i="8"/>
  <c r="DN12" i="8"/>
  <c r="DO12" i="8"/>
  <c r="DP12" i="8"/>
  <c r="DQ12" i="8"/>
  <c r="DR12" i="8"/>
  <c r="DS12" i="8"/>
  <c r="DT12" i="8"/>
  <c r="DU12" i="8"/>
  <c r="DV12" i="8"/>
  <c r="DW12" i="8"/>
  <c r="DX12" i="8"/>
  <c r="DY12" i="8"/>
  <c r="CK13" i="8"/>
  <c r="CL13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O13" i="8"/>
  <c r="DP13" i="8"/>
  <c r="DQ13" i="8"/>
  <c r="DR13" i="8"/>
  <c r="DS13" i="8"/>
  <c r="DT13" i="8"/>
  <c r="DU13" i="8"/>
  <c r="DV13" i="8"/>
  <c r="DW13" i="8"/>
  <c r="DX13" i="8"/>
  <c r="DY13" i="8"/>
  <c r="CK14" i="8"/>
  <c r="CL14" i="8"/>
  <c r="CM14" i="8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CK15" i="8"/>
  <c r="CL15" i="8"/>
  <c r="CM15" i="8"/>
  <c r="CN15" i="8"/>
  <c r="CO15" i="8"/>
  <c r="CP15" i="8"/>
  <c r="CQ15" i="8"/>
  <c r="CR15" i="8"/>
  <c r="CS15" i="8"/>
  <c r="CT15" i="8"/>
  <c r="CU15" i="8"/>
  <c r="CV15" i="8"/>
  <c r="CW15" i="8"/>
  <c r="CX15" i="8"/>
  <c r="CY15" i="8"/>
  <c r="CZ15" i="8"/>
  <c r="DA15" i="8"/>
  <c r="DB15" i="8"/>
  <c r="DC15" i="8"/>
  <c r="DD15" i="8"/>
  <c r="DE15" i="8"/>
  <c r="DF15" i="8"/>
  <c r="DG15" i="8"/>
  <c r="DH15" i="8"/>
  <c r="DI15" i="8"/>
  <c r="DJ15" i="8"/>
  <c r="DK15" i="8"/>
  <c r="DL15" i="8"/>
  <c r="DM15" i="8"/>
  <c r="DN15" i="8"/>
  <c r="DO15" i="8"/>
  <c r="DP15" i="8"/>
  <c r="DQ15" i="8"/>
  <c r="DR15" i="8"/>
  <c r="DS15" i="8"/>
  <c r="DT15" i="8"/>
  <c r="DU15" i="8"/>
  <c r="DV15" i="8"/>
  <c r="DW15" i="8"/>
  <c r="DX15" i="8"/>
  <c r="DY15" i="8"/>
  <c r="CK16" i="8"/>
  <c r="CL16" i="8"/>
  <c r="CM16" i="8"/>
  <c r="CN16" i="8"/>
  <c r="CO16" i="8"/>
  <c r="CP16" i="8"/>
  <c r="CQ16" i="8"/>
  <c r="CR16" i="8"/>
  <c r="CS16" i="8"/>
  <c r="CT16" i="8"/>
  <c r="CU16" i="8"/>
  <c r="CV16" i="8"/>
  <c r="CW16" i="8"/>
  <c r="CX16" i="8"/>
  <c r="CY16" i="8"/>
  <c r="CZ16" i="8"/>
  <c r="DA16" i="8"/>
  <c r="DB16" i="8"/>
  <c r="DC16" i="8"/>
  <c r="DD16" i="8"/>
  <c r="DE16" i="8"/>
  <c r="DF16" i="8"/>
  <c r="DG16" i="8"/>
  <c r="DH16" i="8"/>
  <c r="DI16" i="8"/>
  <c r="DJ16" i="8"/>
  <c r="DK16" i="8"/>
  <c r="DL16" i="8"/>
  <c r="DM16" i="8"/>
  <c r="DN16" i="8"/>
  <c r="DO16" i="8"/>
  <c r="DP16" i="8"/>
  <c r="DQ16" i="8"/>
  <c r="DR16" i="8"/>
  <c r="DS16" i="8"/>
  <c r="DT16" i="8"/>
  <c r="DU16" i="8"/>
  <c r="DV16" i="8"/>
  <c r="DW16" i="8"/>
  <c r="DX16" i="8"/>
  <c r="DY16" i="8"/>
  <c r="CK17" i="8"/>
  <c r="CL17" i="8"/>
  <c r="CM17" i="8"/>
  <c r="CN17" i="8"/>
  <c r="CO17" i="8"/>
  <c r="CP17" i="8"/>
  <c r="CQ17" i="8"/>
  <c r="CR17" i="8"/>
  <c r="CS17" i="8"/>
  <c r="CT17" i="8"/>
  <c r="CU17" i="8"/>
  <c r="CV17" i="8"/>
  <c r="CW17" i="8"/>
  <c r="CX17" i="8"/>
  <c r="CY17" i="8"/>
  <c r="CZ17" i="8"/>
  <c r="DA17" i="8"/>
  <c r="DB17" i="8"/>
  <c r="DC17" i="8"/>
  <c r="DD17" i="8"/>
  <c r="DE17" i="8"/>
  <c r="DF17" i="8"/>
  <c r="DG17" i="8"/>
  <c r="DH17" i="8"/>
  <c r="DI17" i="8"/>
  <c r="DJ17" i="8"/>
  <c r="DK17" i="8"/>
  <c r="DL17" i="8"/>
  <c r="DM17" i="8"/>
  <c r="DN17" i="8"/>
  <c r="DO17" i="8"/>
  <c r="DP17" i="8"/>
  <c r="DQ17" i="8"/>
  <c r="DR17" i="8"/>
  <c r="DS17" i="8"/>
  <c r="DT17" i="8"/>
  <c r="DU17" i="8"/>
  <c r="DV17" i="8"/>
  <c r="DW17" i="8"/>
  <c r="DX17" i="8"/>
  <c r="DY17" i="8"/>
  <c r="CK18" i="8"/>
  <c r="CL18" i="8"/>
  <c r="CM18" i="8"/>
  <c r="CN18" i="8"/>
  <c r="CO18" i="8"/>
  <c r="CP18" i="8"/>
  <c r="CQ18" i="8"/>
  <c r="CR18" i="8"/>
  <c r="CS18" i="8"/>
  <c r="CT18" i="8"/>
  <c r="CU18" i="8"/>
  <c r="CV18" i="8"/>
  <c r="CW18" i="8"/>
  <c r="CX18" i="8"/>
  <c r="CY18" i="8"/>
  <c r="CZ18" i="8"/>
  <c r="DA18" i="8"/>
  <c r="DB18" i="8"/>
  <c r="DC18" i="8"/>
  <c r="DD18" i="8"/>
  <c r="DE18" i="8"/>
  <c r="DF18" i="8"/>
  <c r="DG18" i="8"/>
  <c r="DH18" i="8"/>
  <c r="DI18" i="8"/>
  <c r="DJ18" i="8"/>
  <c r="DK18" i="8"/>
  <c r="DL18" i="8"/>
  <c r="DM18" i="8"/>
  <c r="DN18" i="8"/>
  <c r="DO18" i="8"/>
  <c r="DP18" i="8"/>
  <c r="DQ18" i="8"/>
  <c r="DR18" i="8"/>
  <c r="DS18" i="8"/>
  <c r="DT18" i="8"/>
  <c r="DU18" i="8"/>
  <c r="DV18" i="8"/>
  <c r="DW18" i="8"/>
  <c r="DX18" i="8"/>
  <c r="DY18" i="8"/>
  <c r="CK19" i="8"/>
  <c r="CL19" i="8"/>
  <c r="CM19" i="8"/>
  <c r="CN19" i="8"/>
  <c r="CO19" i="8"/>
  <c r="CP19" i="8"/>
  <c r="CQ19" i="8"/>
  <c r="CR19" i="8"/>
  <c r="CS19" i="8"/>
  <c r="CT19" i="8"/>
  <c r="CU19" i="8"/>
  <c r="CV19" i="8"/>
  <c r="CW19" i="8"/>
  <c r="CX19" i="8"/>
  <c r="CY19" i="8"/>
  <c r="CZ19" i="8"/>
  <c r="DA19" i="8"/>
  <c r="DB19" i="8"/>
  <c r="DC19" i="8"/>
  <c r="DD19" i="8"/>
  <c r="DE19" i="8"/>
  <c r="DF19" i="8"/>
  <c r="DG19" i="8"/>
  <c r="DH19" i="8"/>
  <c r="DI19" i="8"/>
  <c r="DJ19" i="8"/>
  <c r="DK19" i="8"/>
  <c r="DL19" i="8"/>
  <c r="DM19" i="8"/>
  <c r="DN19" i="8"/>
  <c r="DO19" i="8"/>
  <c r="DP19" i="8"/>
  <c r="DQ19" i="8"/>
  <c r="DR19" i="8"/>
  <c r="DS19" i="8"/>
  <c r="DT19" i="8"/>
  <c r="DU19" i="8"/>
  <c r="DV19" i="8"/>
  <c r="DW19" i="8"/>
  <c r="DX19" i="8"/>
  <c r="DY19" i="8"/>
  <c r="CK20" i="8"/>
  <c r="CL20" i="8"/>
  <c r="CM20" i="8"/>
  <c r="CN20" i="8"/>
  <c r="CO20" i="8"/>
  <c r="CP20" i="8"/>
  <c r="CQ20" i="8"/>
  <c r="CR20" i="8"/>
  <c r="CS20" i="8"/>
  <c r="CT20" i="8"/>
  <c r="CU20" i="8"/>
  <c r="CV20" i="8"/>
  <c r="CW20" i="8"/>
  <c r="CX20" i="8"/>
  <c r="CY20" i="8"/>
  <c r="CZ20" i="8"/>
  <c r="DA20" i="8"/>
  <c r="DB20" i="8"/>
  <c r="DC20" i="8"/>
  <c r="DD20" i="8"/>
  <c r="DE20" i="8"/>
  <c r="DF20" i="8"/>
  <c r="DG20" i="8"/>
  <c r="DH20" i="8"/>
  <c r="DI20" i="8"/>
  <c r="DJ20" i="8"/>
  <c r="DK20" i="8"/>
  <c r="DL20" i="8"/>
  <c r="DM20" i="8"/>
  <c r="DN20" i="8"/>
  <c r="DO20" i="8"/>
  <c r="DP20" i="8"/>
  <c r="DQ20" i="8"/>
  <c r="DR20" i="8"/>
  <c r="DS20" i="8"/>
  <c r="DT20" i="8"/>
  <c r="DU20" i="8"/>
  <c r="DV20" i="8"/>
  <c r="DW20" i="8"/>
  <c r="DX20" i="8"/>
  <c r="DY20" i="8"/>
  <c r="CK21" i="8"/>
  <c r="CL21" i="8"/>
  <c r="CM21" i="8"/>
  <c r="CN21" i="8"/>
  <c r="CO21" i="8"/>
  <c r="CP21" i="8"/>
  <c r="CQ21" i="8"/>
  <c r="CR21" i="8"/>
  <c r="CS21" i="8"/>
  <c r="CT21" i="8"/>
  <c r="CU21" i="8"/>
  <c r="CV21" i="8"/>
  <c r="CW21" i="8"/>
  <c r="CX21" i="8"/>
  <c r="CY21" i="8"/>
  <c r="CZ21" i="8"/>
  <c r="DA21" i="8"/>
  <c r="DB21" i="8"/>
  <c r="DC21" i="8"/>
  <c r="DD21" i="8"/>
  <c r="DE21" i="8"/>
  <c r="DF21" i="8"/>
  <c r="DG21" i="8"/>
  <c r="DH21" i="8"/>
  <c r="DI21" i="8"/>
  <c r="DJ21" i="8"/>
  <c r="DK21" i="8"/>
  <c r="DL21" i="8"/>
  <c r="DM21" i="8"/>
  <c r="DN21" i="8"/>
  <c r="DO21" i="8"/>
  <c r="DP21" i="8"/>
  <c r="DQ21" i="8"/>
  <c r="DR21" i="8"/>
  <c r="DS21" i="8"/>
  <c r="DT21" i="8"/>
  <c r="DU21" i="8"/>
  <c r="DV21" i="8"/>
  <c r="DW21" i="8"/>
  <c r="DX21" i="8"/>
  <c r="DY21" i="8"/>
  <c r="CK22" i="8"/>
  <c r="CL22" i="8"/>
  <c r="CM22" i="8"/>
  <c r="CN22" i="8"/>
  <c r="CO22" i="8"/>
  <c r="CP22" i="8"/>
  <c r="CQ22" i="8"/>
  <c r="CR22" i="8"/>
  <c r="CS22" i="8"/>
  <c r="CT22" i="8"/>
  <c r="CU22" i="8"/>
  <c r="CV22" i="8"/>
  <c r="CW22" i="8"/>
  <c r="CX22" i="8"/>
  <c r="CY22" i="8"/>
  <c r="CZ22" i="8"/>
  <c r="DA22" i="8"/>
  <c r="DB22" i="8"/>
  <c r="DC22" i="8"/>
  <c r="DD22" i="8"/>
  <c r="DE22" i="8"/>
  <c r="DF22" i="8"/>
  <c r="DG22" i="8"/>
  <c r="DH22" i="8"/>
  <c r="DI22" i="8"/>
  <c r="DJ22" i="8"/>
  <c r="DK22" i="8"/>
  <c r="DL22" i="8"/>
  <c r="DM22" i="8"/>
  <c r="DN22" i="8"/>
  <c r="DO22" i="8"/>
  <c r="DP22" i="8"/>
  <c r="DQ22" i="8"/>
  <c r="DR22" i="8"/>
  <c r="DS22" i="8"/>
  <c r="DT22" i="8"/>
  <c r="DU22" i="8"/>
  <c r="DV22" i="8"/>
  <c r="DW22" i="8"/>
  <c r="DX22" i="8"/>
  <c r="DY22" i="8"/>
  <c r="CK23" i="8"/>
  <c r="CL23" i="8"/>
  <c r="CM23" i="8"/>
  <c r="CN23" i="8"/>
  <c r="CO23" i="8"/>
  <c r="CP23" i="8"/>
  <c r="CQ23" i="8"/>
  <c r="CR23" i="8"/>
  <c r="CS23" i="8"/>
  <c r="CT23" i="8"/>
  <c r="CU23" i="8"/>
  <c r="CV23" i="8"/>
  <c r="CW23" i="8"/>
  <c r="CX23" i="8"/>
  <c r="CY23" i="8"/>
  <c r="CZ23" i="8"/>
  <c r="DA23" i="8"/>
  <c r="DB23" i="8"/>
  <c r="DC23" i="8"/>
  <c r="DD23" i="8"/>
  <c r="DE23" i="8"/>
  <c r="DF23" i="8"/>
  <c r="DG23" i="8"/>
  <c r="DH23" i="8"/>
  <c r="DI23" i="8"/>
  <c r="DJ23" i="8"/>
  <c r="DK23" i="8"/>
  <c r="DL23" i="8"/>
  <c r="DM23" i="8"/>
  <c r="DN23" i="8"/>
  <c r="DO23" i="8"/>
  <c r="DP23" i="8"/>
  <c r="DQ23" i="8"/>
  <c r="DR23" i="8"/>
  <c r="DS23" i="8"/>
  <c r="DT23" i="8"/>
  <c r="DU23" i="8"/>
  <c r="DV23" i="8"/>
  <c r="DW23" i="8"/>
  <c r="DX23" i="8"/>
  <c r="DY23" i="8"/>
  <c r="CK24" i="8"/>
  <c r="CL24" i="8"/>
  <c r="CM24" i="8"/>
  <c r="CN24" i="8"/>
  <c r="CO24" i="8"/>
  <c r="CP24" i="8"/>
  <c r="CQ24" i="8"/>
  <c r="CR24" i="8"/>
  <c r="CS24" i="8"/>
  <c r="CT24" i="8"/>
  <c r="CU24" i="8"/>
  <c r="CV24" i="8"/>
  <c r="CW24" i="8"/>
  <c r="CX24" i="8"/>
  <c r="CY24" i="8"/>
  <c r="CZ24" i="8"/>
  <c r="DA24" i="8"/>
  <c r="DB24" i="8"/>
  <c r="DC24" i="8"/>
  <c r="DD24" i="8"/>
  <c r="DE24" i="8"/>
  <c r="DF24" i="8"/>
  <c r="DG24" i="8"/>
  <c r="DH24" i="8"/>
  <c r="DI24" i="8"/>
  <c r="DJ24" i="8"/>
  <c r="DK24" i="8"/>
  <c r="DL24" i="8"/>
  <c r="DM24" i="8"/>
  <c r="DN24" i="8"/>
  <c r="DO24" i="8"/>
  <c r="DP24" i="8"/>
  <c r="DQ24" i="8"/>
  <c r="DR24" i="8"/>
  <c r="DS24" i="8"/>
  <c r="DT24" i="8"/>
  <c r="DU24" i="8"/>
  <c r="DV24" i="8"/>
  <c r="DW24" i="8"/>
  <c r="DX24" i="8"/>
  <c r="DY24" i="8"/>
  <c r="CK25" i="8"/>
  <c r="CL25" i="8"/>
  <c r="CM25" i="8"/>
  <c r="CN25" i="8"/>
  <c r="CO25" i="8"/>
  <c r="CP25" i="8"/>
  <c r="CQ25" i="8"/>
  <c r="CR25" i="8"/>
  <c r="CS25" i="8"/>
  <c r="CT25" i="8"/>
  <c r="CU25" i="8"/>
  <c r="CV25" i="8"/>
  <c r="CW25" i="8"/>
  <c r="CX25" i="8"/>
  <c r="CY25" i="8"/>
  <c r="CZ25" i="8"/>
  <c r="DA25" i="8"/>
  <c r="DB25" i="8"/>
  <c r="DC25" i="8"/>
  <c r="DD25" i="8"/>
  <c r="DE25" i="8"/>
  <c r="DF25" i="8"/>
  <c r="DG25" i="8"/>
  <c r="DH25" i="8"/>
  <c r="DI25" i="8"/>
  <c r="DJ25" i="8"/>
  <c r="DK25" i="8"/>
  <c r="DL25" i="8"/>
  <c r="DM25" i="8"/>
  <c r="DN25" i="8"/>
  <c r="DO25" i="8"/>
  <c r="DP25" i="8"/>
  <c r="DQ25" i="8"/>
  <c r="DR25" i="8"/>
  <c r="DS25" i="8"/>
  <c r="DT25" i="8"/>
  <c r="DU25" i="8"/>
  <c r="DV25" i="8"/>
  <c r="DW25" i="8"/>
  <c r="DX25" i="8"/>
  <c r="DY25" i="8"/>
  <c r="CK26" i="8"/>
  <c r="CL26" i="8"/>
  <c r="CM26" i="8"/>
  <c r="CN26" i="8"/>
  <c r="CO26" i="8"/>
  <c r="CP26" i="8"/>
  <c r="CQ26" i="8"/>
  <c r="CR26" i="8"/>
  <c r="CS26" i="8"/>
  <c r="CT26" i="8"/>
  <c r="CU26" i="8"/>
  <c r="CV26" i="8"/>
  <c r="CW26" i="8"/>
  <c r="CX26" i="8"/>
  <c r="CY26" i="8"/>
  <c r="CZ26" i="8"/>
  <c r="DA26" i="8"/>
  <c r="DB26" i="8"/>
  <c r="DC26" i="8"/>
  <c r="DD26" i="8"/>
  <c r="DE26" i="8"/>
  <c r="DF26" i="8"/>
  <c r="DG26" i="8"/>
  <c r="DH26" i="8"/>
  <c r="DI26" i="8"/>
  <c r="DJ26" i="8"/>
  <c r="DK26" i="8"/>
  <c r="DL26" i="8"/>
  <c r="DM26" i="8"/>
  <c r="DN26" i="8"/>
  <c r="DO26" i="8"/>
  <c r="DP26" i="8"/>
  <c r="DQ26" i="8"/>
  <c r="DR26" i="8"/>
  <c r="DS26" i="8"/>
  <c r="DT26" i="8"/>
  <c r="DU26" i="8"/>
  <c r="DV26" i="8"/>
  <c r="DW26" i="8"/>
  <c r="DX26" i="8"/>
  <c r="DY26" i="8"/>
  <c r="CK27" i="8"/>
  <c r="CL27" i="8"/>
  <c r="CM27" i="8"/>
  <c r="CN27" i="8"/>
  <c r="CO27" i="8"/>
  <c r="CP27" i="8"/>
  <c r="CQ27" i="8"/>
  <c r="CR27" i="8"/>
  <c r="CS27" i="8"/>
  <c r="CT27" i="8"/>
  <c r="CU27" i="8"/>
  <c r="CV27" i="8"/>
  <c r="CW27" i="8"/>
  <c r="CX27" i="8"/>
  <c r="CY27" i="8"/>
  <c r="CZ27" i="8"/>
  <c r="DA27" i="8"/>
  <c r="DB27" i="8"/>
  <c r="DC27" i="8"/>
  <c r="DD27" i="8"/>
  <c r="DE27" i="8"/>
  <c r="DF27" i="8"/>
  <c r="DG27" i="8"/>
  <c r="DH27" i="8"/>
  <c r="DI27" i="8"/>
  <c r="DJ27" i="8"/>
  <c r="DK27" i="8"/>
  <c r="DL27" i="8"/>
  <c r="DM27" i="8"/>
  <c r="DN27" i="8"/>
  <c r="DO27" i="8"/>
  <c r="DP27" i="8"/>
  <c r="DQ27" i="8"/>
  <c r="DR27" i="8"/>
  <c r="DS27" i="8"/>
  <c r="DT27" i="8"/>
  <c r="DU27" i="8"/>
  <c r="DV27" i="8"/>
  <c r="DW27" i="8"/>
  <c r="DX27" i="8"/>
  <c r="DY27" i="8"/>
  <c r="CK28" i="8"/>
  <c r="CL28" i="8"/>
  <c r="CM28" i="8"/>
  <c r="CN28" i="8"/>
  <c r="CO28" i="8"/>
  <c r="CP28" i="8"/>
  <c r="CQ28" i="8"/>
  <c r="CR28" i="8"/>
  <c r="CS28" i="8"/>
  <c r="CT28" i="8"/>
  <c r="CU28" i="8"/>
  <c r="CV28" i="8"/>
  <c r="CW28" i="8"/>
  <c r="CX28" i="8"/>
  <c r="CY28" i="8"/>
  <c r="CZ28" i="8"/>
  <c r="DA28" i="8"/>
  <c r="DB28" i="8"/>
  <c r="DC28" i="8"/>
  <c r="DD28" i="8"/>
  <c r="DE28" i="8"/>
  <c r="DF28" i="8"/>
  <c r="DG28" i="8"/>
  <c r="DH28" i="8"/>
  <c r="DI28" i="8"/>
  <c r="DJ28" i="8"/>
  <c r="DK28" i="8"/>
  <c r="DL28" i="8"/>
  <c r="DM28" i="8"/>
  <c r="DN28" i="8"/>
  <c r="DO28" i="8"/>
  <c r="DP28" i="8"/>
  <c r="DQ28" i="8"/>
  <c r="DR28" i="8"/>
  <c r="DS28" i="8"/>
  <c r="DT28" i="8"/>
  <c r="DU28" i="8"/>
  <c r="DV28" i="8"/>
  <c r="DW28" i="8"/>
  <c r="DX28" i="8"/>
  <c r="DY28" i="8"/>
  <c r="CK29" i="8"/>
  <c r="CL29" i="8"/>
  <c r="CM29" i="8"/>
  <c r="CN29" i="8"/>
  <c r="CO29" i="8"/>
  <c r="CP29" i="8"/>
  <c r="CQ29" i="8"/>
  <c r="CR29" i="8"/>
  <c r="CS29" i="8"/>
  <c r="CT29" i="8"/>
  <c r="CU29" i="8"/>
  <c r="CV29" i="8"/>
  <c r="CW29" i="8"/>
  <c r="CX29" i="8"/>
  <c r="CY29" i="8"/>
  <c r="CZ29" i="8"/>
  <c r="DA29" i="8"/>
  <c r="DB29" i="8"/>
  <c r="DC29" i="8"/>
  <c r="DD29" i="8"/>
  <c r="DE29" i="8"/>
  <c r="DF29" i="8"/>
  <c r="DG29" i="8"/>
  <c r="DH29" i="8"/>
  <c r="DI29" i="8"/>
  <c r="DJ29" i="8"/>
  <c r="DK29" i="8"/>
  <c r="DL29" i="8"/>
  <c r="DM29" i="8"/>
  <c r="DN29" i="8"/>
  <c r="DO29" i="8"/>
  <c r="DP29" i="8"/>
  <c r="DQ29" i="8"/>
  <c r="DR29" i="8"/>
  <c r="DS29" i="8"/>
  <c r="DT29" i="8"/>
  <c r="DU29" i="8"/>
  <c r="DV29" i="8"/>
  <c r="DW29" i="8"/>
  <c r="DX29" i="8"/>
  <c r="DY29" i="8"/>
  <c r="CK30" i="8"/>
  <c r="CL30" i="8"/>
  <c r="CM30" i="8"/>
  <c r="CN30" i="8"/>
  <c r="CO30" i="8"/>
  <c r="CP30" i="8"/>
  <c r="CQ30" i="8"/>
  <c r="CR30" i="8"/>
  <c r="CS30" i="8"/>
  <c r="CT30" i="8"/>
  <c r="CU30" i="8"/>
  <c r="CV30" i="8"/>
  <c r="CW30" i="8"/>
  <c r="CX30" i="8"/>
  <c r="CY30" i="8"/>
  <c r="CZ30" i="8"/>
  <c r="DA30" i="8"/>
  <c r="DB30" i="8"/>
  <c r="DC30" i="8"/>
  <c r="DD30" i="8"/>
  <c r="DE30" i="8"/>
  <c r="DF30" i="8"/>
  <c r="DG30" i="8"/>
  <c r="DH30" i="8"/>
  <c r="DI30" i="8"/>
  <c r="DJ30" i="8"/>
  <c r="DK30" i="8"/>
  <c r="DL30" i="8"/>
  <c r="DM30" i="8"/>
  <c r="DN30" i="8"/>
  <c r="DO30" i="8"/>
  <c r="DP30" i="8"/>
  <c r="DQ30" i="8"/>
  <c r="DR30" i="8"/>
  <c r="DS30" i="8"/>
  <c r="DT30" i="8"/>
  <c r="DU30" i="8"/>
  <c r="DV30" i="8"/>
  <c r="DW30" i="8"/>
  <c r="DX30" i="8"/>
  <c r="DY30" i="8"/>
  <c r="CK31" i="8"/>
  <c r="CL31" i="8"/>
  <c r="CM31" i="8"/>
  <c r="CN31" i="8"/>
  <c r="CO31" i="8"/>
  <c r="CP31" i="8"/>
  <c r="CQ31" i="8"/>
  <c r="CR31" i="8"/>
  <c r="CS31" i="8"/>
  <c r="CT31" i="8"/>
  <c r="CU31" i="8"/>
  <c r="CV31" i="8"/>
  <c r="CW31" i="8"/>
  <c r="CX31" i="8"/>
  <c r="CY31" i="8"/>
  <c r="CZ31" i="8"/>
  <c r="DA31" i="8"/>
  <c r="DB31" i="8"/>
  <c r="DC31" i="8"/>
  <c r="DD31" i="8"/>
  <c r="DE31" i="8"/>
  <c r="DF31" i="8"/>
  <c r="DG31" i="8"/>
  <c r="DH31" i="8"/>
  <c r="DI31" i="8"/>
  <c r="DJ31" i="8"/>
  <c r="DK31" i="8"/>
  <c r="DL31" i="8"/>
  <c r="DM31" i="8"/>
  <c r="DN31" i="8"/>
  <c r="DO31" i="8"/>
  <c r="DP31" i="8"/>
  <c r="DQ31" i="8"/>
  <c r="DR31" i="8"/>
  <c r="DS31" i="8"/>
  <c r="DT31" i="8"/>
  <c r="DU31" i="8"/>
  <c r="DV31" i="8"/>
  <c r="DW31" i="8"/>
  <c r="DX31" i="8"/>
  <c r="DY31" i="8"/>
  <c r="CK32" i="8"/>
  <c r="CL32" i="8"/>
  <c r="CM32" i="8"/>
  <c r="CN32" i="8"/>
  <c r="CO32" i="8"/>
  <c r="CP32" i="8"/>
  <c r="CQ32" i="8"/>
  <c r="CR32" i="8"/>
  <c r="CS32" i="8"/>
  <c r="CT32" i="8"/>
  <c r="CU32" i="8"/>
  <c r="CV32" i="8"/>
  <c r="CW32" i="8"/>
  <c r="CX32" i="8"/>
  <c r="CY32" i="8"/>
  <c r="CZ32" i="8"/>
  <c r="DA32" i="8"/>
  <c r="DB32" i="8"/>
  <c r="DC32" i="8"/>
  <c r="DD32" i="8"/>
  <c r="DE32" i="8"/>
  <c r="DF32" i="8"/>
  <c r="DG32" i="8"/>
  <c r="DH32" i="8"/>
  <c r="DI32" i="8"/>
  <c r="DJ32" i="8"/>
  <c r="DK32" i="8"/>
  <c r="DL32" i="8"/>
  <c r="DM32" i="8"/>
  <c r="DN32" i="8"/>
  <c r="DO32" i="8"/>
  <c r="DP32" i="8"/>
  <c r="DQ32" i="8"/>
  <c r="DR32" i="8"/>
  <c r="DS32" i="8"/>
  <c r="DT32" i="8"/>
  <c r="DU32" i="8"/>
  <c r="DV32" i="8"/>
  <c r="DW32" i="8"/>
  <c r="DX32" i="8"/>
  <c r="DY32" i="8"/>
  <c r="CK33" i="8"/>
  <c r="CL33" i="8"/>
  <c r="CM33" i="8"/>
  <c r="CN33" i="8"/>
  <c r="CO33" i="8"/>
  <c r="CP33" i="8"/>
  <c r="CQ33" i="8"/>
  <c r="CR33" i="8"/>
  <c r="CS33" i="8"/>
  <c r="CT33" i="8"/>
  <c r="CU33" i="8"/>
  <c r="CV33" i="8"/>
  <c r="CW33" i="8"/>
  <c r="CX33" i="8"/>
  <c r="CY33" i="8"/>
  <c r="CZ33" i="8"/>
  <c r="DA33" i="8"/>
  <c r="DB33" i="8"/>
  <c r="DC33" i="8"/>
  <c r="DD33" i="8"/>
  <c r="DE33" i="8"/>
  <c r="DF33" i="8"/>
  <c r="DG33" i="8"/>
  <c r="DH33" i="8"/>
  <c r="DI33" i="8"/>
  <c r="DJ33" i="8"/>
  <c r="DK33" i="8"/>
  <c r="DL33" i="8"/>
  <c r="DM33" i="8"/>
  <c r="DN33" i="8"/>
  <c r="DO33" i="8"/>
  <c r="DP33" i="8"/>
  <c r="DQ33" i="8"/>
  <c r="DR33" i="8"/>
  <c r="DS33" i="8"/>
  <c r="DT33" i="8"/>
  <c r="DU33" i="8"/>
  <c r="DV33" i="8"/>
  <c r="DW33" i="8"/>
  <c r="DX33" i="8"/>
  <c r="DY33" i="8"/>
  <c r="CK34" i="8"/>
  <c r="CL34" i="8"/>
  <c r="CM34" i="8"/>
  <c r="CN34" i="8"/>
  <c r="CO34" i="8"/>
  <c r="CP34" i="8"/>
  <c r="CQ34" i="8"/>
  <c r="CR34" i="8"/>
  <c r="CS34" i="8"/>
  <c r="CT34" i="8"/>
  <c r="CU34" i="8"/>
  <c r="CV34" i="8"/>
  <c r="CW34" i="8"/>
  <c r="CX34" i="8"/>
  <c r="CY34" i="8"/>
  <c r="CZ34" i="8"/>
  <c r="DA34" i="8"/>
  <c r="DB34" i="8"/>
  <c r="DC34" i="8"/>
  <c r="DD34" i="8"/>
  <c r="DE34" i="8"/>
  <c r="DF34" i="8"/>
  <c r="DG34" i="8"/>
  <c r="DH34" i="8"/>
  <c r="DI34" i="8"/>
  <c r="DJ34" i="8"/>
  <c r="DK34" i="8"/>
  <c r="DL34" i="8"/>
  <c r="DM34" i="8"/>
  <c r="DN34" i="8"/>
  <c r="DO34" i="8"/>
  <c r="DP34" i="8"/>
  <c r="DQ34" i="8"/>
  <c r="DR34" i="8"/>
  <c r="DS34" i="8"/>
  <c r="DT34" i="8"/>
  <c r="DU34" i="8"/>
  <c r="DV34" i="8"/>
  <c r="DW34" i="8"/>
  <c r="DX34" i="8"/>
  <c r="DY34" i="8"/>
  <c r="CK35" i="8"/>
  <c r="CL35" i="8"/>
  <c r="CM35" i="8"/>
  <c r="CN35" i="8"/>
  <c r="CO35" i="8"/>
  <c r="CP35" i="8"/>
  <c r="CQ35" i="8"/>
  <c r="CR35" i="8"/>
  <c r="CS35" i="8"/>
  <c r="CT35" i="8"/>
  <c r="CU35" i="8"/>
  <c r="CV35" i="8"/>
  <c r="CW35" i="8"/>
  <c r="CX35" i="8"/>
  <c r="CY35" i="8"/>
  <c r="CZ35" i="8"/>
  <c r="DA35" i="8"/>
  <c r="DB35" i="8"/>
  <c r="DC35" i="8"/>
  <c r="DD35" i="8"/>
  <c r="DE35" i="8"/>
  <c r="DF35" i="8"/>
  <c r="DG35" i="8"/>
  <c r="DH35" i="8"/>
  <c r="DI35" i="8"/>
  <c r="DJ35" i="8"/>
  <c r="DK35" i="8"/>
  <c r="DL35" i="8"/>
  <c r="DM35" i="8"/>
  <c r="DN35" i="8"/>
  <c r="DO35" i="8"/>
  <c r="DP35" i="8"/>
  <c r="DQ35" i="8"/>
  <c r="DR35" i="8"/>
  <c r="DS35" i="8"/>
  <c r="DT35" i="8"/>
  <c r="DU35" i="8"/>
  <c r="DV35" i="8"/>
  <c r="DW35" i="8"/>
  <c r="DX35" i="8"/>
  <c r="DY35" i="8"/>
  <c r="CK36" i="8"/>
  <c r="CL36" i="8"/>
  <c r="CM36" i="8"/>
  <c r="CN36" i="8"/>
  <c r="CO36" i="8"/>
  <c r="CP36" i="8"/>
  <c r="CQ36" i="8"/>
  <c r="CR36" i="8"/>
  <c r="CS36" i="8"/>
  <c r="CT36" i="8"/>
  <c r="CU36" i="8"/>
  <c r="CV36" i="8"/>
  <c r="CW36" i="8"/>
  <c r="CX36" i="8"/>
  <c r="CY36" i="8"/>
  <c r="CZ36" i="8"/>
  <c r="DA36" i="8"/>
  <c r="DB36" i="8"/>
  <c r="DC36" i="8"/>
  <c r="DD36" i="8"/>
  <c r="DE36" i="8"/>
  <c r="DF36" i="8"/>
  <c r="DG36" i="8"/>
  <c r="DH36" i="8"/>
  <c r="DI36" i="8"/>
  <c r="DJ36" i="8"/>
  <c r="DK36" i="8"/>
  <c r="DL36" i="8"/>
  <c r="DM36" i="8"/>
  <c r="DN36" i="8"/>
  <c r="DO36" i="8"/>
  <c r="DP36" i="8"/>
  <c r="DQ36" i="8"/>
  <c r="DR36" i="8"/>
  <c r="DS36" i="8"/>
  <c r="DT36" i="8"/>
  <c r="DU36" i="8"/>
  <c r="DV36" i="8"/>
  <c r="DW36" i="8"/>
  <c r="DX36" i="8"/>
  <c r="DY36" i="8"/>
  <c r="CK37" i="8"/>
  <c r="CL37" i="8"/>
  <c r="CM37" i="8"/>
  <c r="CN37" i="8"/>
  <c r="CO37" i="8"/>
  <c r="CP37" i="8"/>
  <c r="CQ37" i="8"/>
  <c r="CR37" i="8"/>
  <c r="CS37" i="8"/>
  <c r="CT37" i="8"/>
  <c r="CU37" i="8"/>
  <c r="CV37" i="8"/>
  <c r="CW37" i="8"/>
  <c r="CX37" i="8"/>
  <c r="CY37" i="8"/>
  <c r="CZ37" i="8"/>
  <c r="DA37" i="8"/>
  <c r="DB37" i="8"/>
  <c r="DC37" i="8"/>
  <c r="DD37" i="8"/>
  <c r="DE37" i="8"/>
  <c r="DF37" i="8"/>
  <c r="DG37" i="8"/>
  <c r="DH37" i="8"/>
  <c r="DI37" i="8"/>
  <c r="DJ37" i="8"/>
  <c r="DK37" i="8"/>
  <c r="DL37" i="8"/>
  <c r="DM37" i="8"/>
  <c r="DN37" i="8"/>
  <c r="DO37" i="8"/>
  <c r="DP37" i="8"/>
  <c r="DQ37" i="8"/>
  <c r="DR37" i="8"/>
  <c r="DS37" i="8"/>
  <c r="DT37" i="8"/>
  <c r="DU37" i="8"/>
  <c r="DV37" i="8"/>
  <c r="DW37" i="8"/>
  <c r="DX37" i="8"/>
  <c r="DY37" i="8"/>
  <c r="CK38" i="8"/>
  <c r="CL38" i="8"/>
  <c r="CM38" i="8"/>
  <c r="CN38" i="8"/>
  <c r="CO38" i="8"/>
  <c r="CP38" i="8"/>
  <c r="CQ38" i="8"/>
  <c r="CR38" i="8"/>
  <c r="CS38" i="8"/>
  <c r="CT38" i="8"/>
  <c r="CU38" i="8"/>
  <c r="CV38" i="8"/>
  <c r="CW38" i="8"/>
  <c r="CX38" i="8"/>
  <c r="CY38" i="8"/>
  <c r="CZ38" i="8"/>
  <c r="DA38" i="8"/>
  <c r="DB38" i="8"/>
  <c r="DC38" i="8"/>
  <c r="DD38" i="8"/>
  <c r="DE38" i="8"/>
  <c r="DF38" i="8"/>
  <c r="DG38" i="8"/>
  <c r="DH38" i="8"/>
  <c r="DI38" i="8"/>
  <c r="DJ38" i="8"/>
  <c r="DK38" i="8"/>
  <c r="DL38" i="8"/>
  <c r="DM38" i="8"/>
  <c r="DN38" i="8"/>
  <c r="DO38" i="8"/>
  <c r="DP38" i="8"/>
  <c r="DQ38" i="8"/>
  <c r="DR38" i="8"/>
  <c r="DS38" i="8"/>
  <c r="DT38" i="8"/>
  <c r="DU38" i="8"/>
  <c r="DV38" i="8"/>
  <c r="DW38" i="8"/>
  <c r="DX38" i="8"/>
  <c r="DY38" i="8"/>
  <c r="CK39" i="8"/>
  <c r="CL39" i="8"/>
  <c r="CM39" i="8"/>
  <c r="CN39" i="8"/>
  <c r="CO39" i="8"/>
  <c r="CP39" i="8"/>
  <c r="CQ39" i="8"/>
  <c r="CR39" i="8"/>
  <c r="CS39" i="8"/>
  <c r="CT39" i="8"/>
  <c r="CU39" i="8"/>
  <c r="CV39" i="8"/>
  <c r="CW39" i="8"/>
  <c r="CX39" i="8"/>
  <c r="CY39" i="8"/>
  <c r="CZ39" i="8"/>
  <c r="DA39" i="8"/>
  <c r="DB39" i="8"/>
  <c r="DC39" i="8"/>
  <c r="DD39" i="8"/>
  <c r="DE39" i="8"/>
  <c r="DF39" i="8"/>
  <c r="DG39" i="8"/>
  <c r="DH39" i="8"/>
  <c r="DI39" i="8"/>
  <c r="DJ39" i="8"/>
  <c r="DK39" i="8"/>
  <c r="DL39" i="8"/>
  <c r="DM39" i="8"/>
  <c r="DN39" i="8"/>
  <c r="DO39" i="8"/>
  <c r="DP39" i="8"/>
  <c r="DQ39" i="8"/>
  <c r="DR39" i="8"/>
  <c r="DS39" i="8"/>
  <c r="DT39" i="8"/>
  <c r="DU39" i="8"/>
  <c r="DV39" i="8"/>
  <c r="DW39" i="8"/>
  <c r="DX39" i="8"/>
  <c r="DY39" i="8"/>
  <c r="CK40" i="8"/>
  <c r="CL40" i="8"/>
  <c r="CM40" i="8"/>
  <c r="CN40" i="8"/>
  <c r="CO40" i="8"/>
  <c r="CP40" i="8"/>
  <c r="CQ40" i="8"/>
  <c r="CR40" i="8"/>
  <c r="CS40" i="8"/>
  <c r="CT40" i="8"/>
  <c r="CU40" i="8"/>
  <c r="CV40" i="8"/>
  <c r="CW40" i="8"/>
  <c r="CX40" i="8"/>
  <c r="CY40" i="8"/>
  <c r="CZ40" i="8"/>
  <c r="DA40" i="8"/>
  <c r="DB40" i="8"/>
  <c r="DC40" i="8"/>
  <c r="DD40" i="8"/>
  <c r="DE40" i="8"/>
  <c r="DF40" i="8"/>
  <c r="DG40" i="8"/>
  <c r="DH40" i="8"/>
  <c r="DI40" i="8"/>
  <c r="DJ40" i="8"/>
  <c r="DK40" i="8"/>
  <c r="DL40" i="8"/>
  <c r="DM40" i="8"/>
  <c r="DN40" i="8"/>
  <c r="DO40" i="8"/>
  <c r="DP40" i="8"/>
  <c r="DQ40" i="8"/>
  <c r="DR40" i="8"/>
  <c r="DS40" i="8"/>
  <c r="DT40" i="8"/>
  <c r="DU40" i="8"/>
  <c r="DV40" i="8"/>
  <c r="DW40" i="8"/>
  <c r="DX40" i="8"/>
  <c r="DY40" i="8"/>
  <c r="CJ3" i="8"/>
  <c r="CJ4" i="8"/>
  <c r="CJ5" i="8"/>
  <c r="CJ6" i="8"/>
  <c r="CJ7" i="8"/>
  <c r="CJ8" i="8"/>
  <c r="CJ9" i="8"/>
  <c r="CJ10" i="8"/>
  <c r="CJ11" i="8"/>
  <c r="CJ12" i="8"/>
  <c r="CJ13" i="8"/>
  <c r="CJ14" i="8"/>
  <c r="CJ15" i="8"/>
  <c r="CJ16" i="8"/>
  <c r="CJ17" i="8"/>
  <c r="CJ18" i="8"/>
  <c r="CJ19" i="8"/>
  <c r="CJ20" i="8"/>
  <c r="CJ21" i="8"/>
  <c r="CJ22" i="8"/>
  <c r="CJ23" i="8"/>
  <c r="CJ24" i="8"/>
  <c r="CJ25" i="8"/>
  <c r="CJ26" i="8"/>
  <c r="CJ27" i="8"/>
  <c r="CJ28" i="8"/>
  <c r="CJ29" i="8"/>
  <c r="CJ30" i="8"/>
  <c r="CJ31" i="8"/>
  <c r="CJ32" i="8"/>
  <c r="CJ33" i="8"/>
  <c r="CJ34" i="8"/>
  <c r="CJ35" i="8"/>
  <c r="CJ36" i="8"/>
  <c r="CJ37" i="8"/>
  <c r="CJ38" i="8"/>
  <c r="CJ39" i="8"/>
  <c r="CJ40" i="8"/>
  <c r="CJ2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BW4" i="8"/>
  <c r="BX4" i="8"/>
  <c r="BY4" i="8"/>
  <c r="BZ4" i="8"/>
  <c r="CA4" i="8"/>
  <c r="CB4" i="8"/>
  <c r="CC4" i="8"/>
  <c r="CD4" i="8"/>
  <c r="CE4" i="8"/>
  <c r="CF4" i="8"/>
  <c r="CG4" i="8"/>
  <c r="CH4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CB5" i="8"/>
  <c r="CC5" i="8"/>
  <c r="CD5" i="8"/>
  <c r="CE5" i="8"/>
  <c r="CF5" i="8"/>
  <c r="CG5" i="8"/>
  <c r="CH5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CG6" i="8"/>
  <c r="CH6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CB7" i="8"/>
  <c r="CC7" i="8"/>
  <c r="CD7" i="8"/>
  <c r="CE7" i="8"/>
  <c r="CF7" i="8"/>
  <c r="CG7" i="8"/>
  <c r="CH7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BZ8" i="8"/>
  <c r="CA8" i="8"/>
  <c r="CB8" i="8"/>
  <c r="CC8" i="8"/>
  <c r="CD8" i="8"/>
  <c r="CE8" i="8"/>
  <c r="CF8" i="8"/>
  <c r="CG8" i="8"/>
  <c r="CH8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BZ9" i="8"/>
  <c r="CA9" i="8"/>
  <c r="CB9" i="8"/>
  <c r="CC9" i="8"/>
  <c r="CC10" i="8" s="1"/>
  <c r="CC11" i="8" s="1"/>
  <c r="CC12" i="8" s="1"/>
  <c r="CD9" i="8"/>
  <c r="CE9" i="8"/>
  <c r="CF9" i="8"/>
  <c r="CG9" i="8"/>
  <c r="CH9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R11" i="8" s="1"/>
  <c r="BR12" i="8" s="1"/>
  <c r="BR13" i="8" s="1"/>
  <c r="BS10" i="8"/>
  <c r="BT10" i="8"/>
  <c r="BT11" i="8" s="1"/>
  <c r="BT12" i="8" s="1"/>
  <c r="BT13" i="8" s="1"/>
  <c r="BU10" i="8"/>
  <c r="BV10" i="8"/>
  <c r="BV11" i="8" s="1"/>
  <c r="BV12" i="8" s="1"/>
  <c r="BV13" i="8" s="1"/>
  <c r="BW10" i="8"/>
  <c r="BX10" i="8"/>
  <c r="BX11" i="8" s="1"/>
  <c r="BX12" i="8" s="1"/>
  <c r="BX13" i="8" s="1"/>
  <c r="BY10" i="8"/>
  <c r="BZ10" i="8"/>
  <c r="CA10" i="8"/>
  <c r="CB10" i="8"/>
  <c r="CD10" i="8"/>
  <c r="CD11" i="8" s="1"/>
  <c r="CD12" i="8" s="1"/>
  <c r="CD13" i="8" s="1"/>
  <c r="CE10" i="8"/>
  <c r="CF10" i="8"/>
  <c r="CF11" i="8" s="1"/>
  <c r="CF12" i="8" s="1"/>
  <c r="CF13" i="8" s="1"/>
  <c r="CG10" i="8"/>
  <c r="CH10" i="8"/>
  <c r="CH11" i="8" s="1"/>
  <c r="CH12" i="8" s="1"/>
  <c r="CH13" i="8" s="1"/>
  <c r="AT11" i="8"/>
  <c r="AU11" i="8"/>
  <c r="AU12" i="8" s="1"/>
  <c r="AU13" i="8" s="1"/>
  <c r="AU14" i="8" s="1"/>
  <c r="AV11" i="8"/>
  <c r="AW11" i="8"/>
  <c r="AW12" i="8" s="1"/>
  <c r="AW13" i="8" s="1"/>
  <c r="AW14" i="8" s="1"/>
  <c r="AX11" i="8"/>
  <c r="AY11" i="8"/>
  <c r="AY12" i="8" s="1"/>
  <c r="AY13" i="8" s="1"/>
  <c r="AY14" i="8" s="1"/>
  <c r="AZ11" i="8"/>
  <c r="BA11" i="8"/>
  <c r="BA12" i="8" s="1"/>
  <c r="BA13" i="8" s="1"/>
  <c r="BA14" i="8" s="1"/>
  <c r="BB11" i="8"/>
  <c r="BC11" i="8"/>
  <c r="BC12" i="8" s="1"/>
  <c r="BC13" i="8" s="1"/>
  <c r="BC14" i="8" s="1"/>
  <c r="BD11" i="8"/>
  <c r="BE11" i="8"/>
  <c r="BE12" i="8" s="1"/>
  <c r="BE13" i="8" s="1"/>
  <c r="BE14" i="8" s="1"/>
  <c r="BF11" i="8"/>
  <c r="BG11" i="8"/>
  <c r="BG12" i="8" s="1"/>
  <c r="BG13" i="8" s="1"/>
  <c r="BG14" i="8" s="1"/>
  <c r="BH11" i="8"/>
  <c r="BI11" i="8"/>
  <c r="BI12" i="8" s="1"/>
  <c r="BI13" i="8" s="1"/>
  <c r="BI14" i="8" s="1"/>
  <c r="BJ11" i="8"/>
  <c r="BK11" i="8"/>
  <c r="BK12" i="8" s="1"/>
  <c r="BK13" i="8" s="1"/>
  <c r="BK14" i="8" s="1"/>
  <c r="BL11" i="8"/>
  <c r="BM11" i="8"/>
  <c r="BM12" i="8" s="1"/>
  <c r="BM13" i="8" s="1"/>
  <c r="BM14" i="8" s="1"/>
  <c r="BN11" i="8"/>
  <c r="BO11" i="8"/>
  <c r="BO12" i="8" s="1"/>
  <c r="BO13" i="8" s="1"/>
  <c r="BO14" i="8" s="1"/>
  <c r="BP11" i="8"/>
  <c r="BQ11" i="8"/>
  <c r="BQ12" i="8" s="1"/>
  <c r="BQ13" i="8" s="1"/>
  <c r="BQ14" i="8" s="1"/>
  <c r="BS11" i="8"/>
  <c r="BS12" i="8" s="1"/>
  <c r="BS13" i="8" s="1"/>
  <c r="BS14" i="8" s="1"/>
  <c r="BU11" i="8"/>
  <c r="BU12" i="8" s="1"/>
  <c r="BU13" i="8" s="1"/>
  <c r="BU14" i="8" s="1"/>
  <c r="BW11" i="8"/>
  <c r="BW12" i="8" s="1"/>
  <c r="BY11" i="8"/>
  <c r="BY12" i="8" s="1"/>
  <c r="BY13" i="8" s="1"/>
  <c r="BY14" i="8" s="1"/>
  <c r="BY15" i="8" s="1"/>
  <c r="BY16" i="8" s="1"/>
  <c r="BY17" i="8" s="1"/>
  <c r="BY18" i="8" s="1"/>
  <c r="BY19" i="8" s="1"/>
  <c r="BY20" i="8" s="1"/>
  <c r="BY21" i="8" s="1"/>
  <c r="BY22" i="8" s="1"/>
  <c r="BY23" i="8" s="1"/>
  <c r="BY24" i="8" s="1"/>
  <c r="BY25" i="8" s="1"/>
  <c r="BY26" i="8" s="1"/>
  <c r="BY27" i="8" s="1"/>
  <c r="BY28" i="8" s="1"/>
  <c r="BY29" i="8" s="1"/>
  <c r="BY30" i="8" s="1"/>
  <c r="BY31" i="8" s="1"/>
  <c r="BZ11" i="8"/>
  <c r="CA11" i="8"/>
  <c r="CA12" i="8" s="1"/>
  <c r="CB11" i="8"/>
  <c r="CE11" i="8"/>
  <c r="CE12" i="8" s="1"/>
  <c r="CG11" i="8"/>
  <c r="CG12" i="8" s="1"/>
  <c r="AT12" i="8"/>
  <c r="AT13" i="8" s="1"/>
  <c r="AV12" i="8"/>
  <c r="AV13" i="8" s="1"/>
  <c r="AX12" i="8"/>
  <c r="AX13" i="8" s="1"/>
  <c r="AZ12" i="8"/>
  <c r="AZ13" i="8" s="1"/>
  <c r="BB12" i="8"/>
  <c r="BB13" i="8" s="1"/>
  <c r="BD12" i="8"/>
  <c r="BD13" i="8" s="1"/>
  <c r="BF12" i="8"/>
  <c r="BF13" i="8" s="1"/>
  <c r="BH12" i="8"/>
  <c r="BH13" i="8" s="1"/>
  <c r="BJ12" i="8"/>
  <c r="BJ13" i="8" s="1"/>
  <c r="BL12" i="8"/>
  <c r="BL13" i="8" s="1"/>
  <c r="BN12" i="8"/>
  <c r="BN13" i="8" s="1"/>
  <c r="BP12" i="8"/>
  <c r="BP13" i="8" s="1"/>
  <c r="BZ12" i="8"/>
  <c r="BZ13" i="8" s="1"/>
  <c r="CB12" i="8"/>
  <c r="CB13" i="8" s="1"/>
  <c r="BW13" i="8"/>
  <c r="BW14" i="8" s="1"/>
  <c r="CA13" i="8"/>
  <c r="CA14" i="8" s="1"/>
  <c r="CC13" i="8"/>
  <c r="CC14" i="8" s="1"/>
  <c r="CE13" i="8"/>
  <c r="CE14" i="8" s="1"/>
  <c r="CG13" i="8"/>
  <c r="CG14" i="8" s="1"/>
  <c r="AT14" i="8"/>
  <c r="AT15" i="8" s="1"/>
  <c r="AV14" i="8"/>
  <c r="AV15" i="8" s="1"/>
  <c r="AX14" i="8"/>
  <c r="AX15" i="8" s="1"/>
  <c r="AZ14" i="8"/>
  <c r="AZ15" i="8" s="1"/>
  <c r="BB14" i="8"/>
  <c r="BB15" i="8" s="1"/>
  <c r="BD14" i="8"/>
  <c r="BD15" i="8" s="1"/>
  <c r="BF14" i="8"/>
  <c r="BF15" i="8" s="1"/>
  <c r="BH14" i="8"/>
  <c r="BH15" i="8" s="1"/>
  <c r="BJ14" i="8"/>
  <c r="BJ15" i="8" s="1"/>
  <c r="BL14" i="8"/>
  <c r="BL15" i="8" s="1"/>
  <c r="BN14" i="8"/>
  <c r="BN15" i="8" s="1"/>
  <c r="BP14" i="8"/>
  <c r="BP15" i="8" s="1"/>
  <c r="BR14" i="8"/>
  <c r="BR15" i="8" s="1"/>
  <c r="BT14" i="8"/>
  <c r="BT15" i="8" s="1"/>
  <c r="BV14" i="8"/>
  <c r="BV15" i="8" s="1"/>
  <c r="BX14" i="8"/>
  <c r="BX15" i="8" s="1"/>
  <c r="BZ14" i="8"/>
  <c r="CB14" i="8"/>
  <c r="CD14" i="8"/>
  <c r="CF14" i="8"/>
  <c r="CH14" i="8"/>
  <c r="AU15" i="8"/>
  <c r="AW15" i="8"/>
  <c r="AY15" i="8"/>
  <c r="BA15" i="8"/>
  <c r="BC15" i="8"/>
  <c r="BE15" i="8"/>
  <c r="BG15" i="8"/>
  <c r="BI15" i="8"/>
  <c r="BK15" i="8"/>
  <c r="BM15" i="8"/>
  <c r="BO15" i="8"/>
  <c r="BQ15" i="8"/>
  <c r="BS15" i="8"/>
  <c r="BU15" i="8"/>
  <c r="BW15" i="8"/>
  <c r="BZ15" i="8"/>
  <c r="CA15" i="8"/>
  <c r="CB15" i="8"/>
  <c r="CC15" i="8"/>
  <c r="CD15" i="8"/>
  <c r="CE15" i="8"/>
  <c r="CF15" i="8"/>
  <c r="CG15" i="8"/>
  <c r="CH15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Z16" i="8"/>
  <c r="CA16" i="8"/>
  <c r="CB16" i="8"/>
  <c r="CC16" i="8"/>
  <c r="CD16" i="8"/>
  <c r="CE16" i="8"/>
  <c r="CF16" i="8"/>
  <c r="CG16" i="8"/>
  <c r="CH16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Z17" i="8"/>
  <c r="CA17" i="8"/>
  <c r="CB17" i="8"/>
  <c r="CC17" i="8"/>
  <c r="CD17" i="8"/>
  <c r="CE17" i="8"/>
  <c r="CF17" i="8"/>
  <c r="CG17" i="8"/>
  <c r="CH17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Z18" i="8"/>
  <c r="CA18" i="8"/>
  <c r="CB18" i="8"/>
  <c r="CC18" i="8"/>
  <c r="CD18" i="8"/>
  <c r="CE18" i="8"/>
  <c r="CF18" i="8"/>
  <c r="CG18" i="8"/>
  <c r="CH18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Z19" i="8"/>
  <c r="CA19" i="8"/>
  <c r="CB19" i="8"/>
  <c r="CC19" i="8"/>
  <c r="CD19" i="8"/>
  <c r="CE19" i="8"/>
  <c r="CF19" i="8"/>
  <c r="CG19" i="8"/>
  <c r="CH19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Z20" i="8"/>
  <c r="CA20" i="8"/>
  <c r="CB20" i="8"/>
  <c r="CC20" i="8"/>
  <c r="CD20" i="8"/>
  <c r="CE20" i="8"/>
  <c r="CF20" i="8"/>
  <c r="CG20" i="8"/>
  <c r="CH20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Z21" i="8"/>
  <c r="CA21" i="8"/>
  <c r="CB21" i="8"/>
  <c r="CC21" i="8"/>
  <c r="CD21" i="8"/>
  <c r="CE21" i="8"/>
  <c r="CF21" i="8"/>
  <c r="CG21" i="8"/>
  <c r="CH21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Z22" i="8"/>
  <c r="CA22" i="8"/>
  <c r="CB22" i="8"/>
  <c r="CC22" i="8"/>
  <c r="CD22" i="8"/>
  <c r="CE22" i="8"/>
  <c r="CF22" i="8"/>
  <c r="CG22" i="8"/>
  <c r="CH22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Z23" i="8"/>
  <c r="CA23" i="8"/>
  <c r="CB23" i="8"/>
  <c r="CC23" i="8"/>
  <c r="CD23" i="8"/>
  <c r="CE23" i="8"/>
  <c r="CF23" i="8"/>
  <c r="CG23" i="8"/>
  <c r="CH23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BU24" i="8"/>
  <c r="BV24" i="8"/>
  <c r="BW24" i="8"/>
  <c r="BX24" i="8"/>
  <c r="BZ24" i="8"/>
  <c r="CA24" i="8"/>
  <c r="CB24" i="8"/>
  <c r="CC24" i="8"/>
  <c r="CD24" i="8"/>
  <c r="CE24" i="8"/>
  <c r="CF24" i="8"/>
  <c r="CG24" i="8"/>
  <c r="CH24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Z25" i="8"/>
  <c r="CA25" i="8"/>
  <c r="CB25" i="8"/>
  <c r="CC25" i="8"/>
  <c r="CD25" i="8"/>
  <c r="CE25" i="8"/>
  <c r="CF25" i="8"/>
  <c r="CG25" i="8"/>
  <c r="CH25" i="8"/>
  <c r="AT26" i="8"/>
  <c r="AU26" i="8"/>
  <c r="AV26" i="8"/>
  <c r="AW26" i="8"/>
  <c r="AX26" i="8"/>
  <c r="AY26" i="8"/>
  <c r="AZ26" i="8"/>
  <c r="BA26" i="8"/>
  <c r="BB26" i="8"/>
  <c r="BC26" i="8"/>
  <c r="BC27" i="8" s="1"/>
  <c r="BC28" i="8" s="1"/>
  <c r="BC29" i="8" s="1"/>
  <c r="BC30" i="8" s="1"/>
  <c r="BC31" i="8" s="1"/>
  <c r="BD26" i="8"/>
  <c r="BE26" i="8"/>
  <c r="BF26" i="8"/>
  <c r="BG26" i="8"/>
  <c r="BG27" i="8" s="1"/>
  <c r="BG28" i="8" s="1"/>
  <c r="BG29" i="8" s="1"/>
  <c r="BG30" i="8" s="1"/>
  <c r="BG31" i="8" s="1"/>
  <c r="BH26" i="8"/>
  <c r="BI26" i="8"/>
  <c r="BJ26" i="8"/>
  <c r="BK26" i="8"/>
  <c r="BK27" i="8" s="1"/>
  <c r="BK28" i="8" s="1"/>
  <c r="BK29" i="8" s="1"/>
  <c r="BK30" i="8" s="1"/>
  <c r="BK31" i="8" s="1"/>
  <c r="BL26" i="8"/>
  <c r="BM26" i="8"/>
  <c r="BM27" i="8" s="1"/>
  <c r="BM28" i="8" s="1"/>
  <c r="BM29" i="8" s="1"/>
  <c r="BM30" i="8" s="1"/>
  <c r="BM31" i="8" s="1"/>
  <c r="BN26" i="8"/>
  <c r="BO26" i="8"/>
  <c r="BO27" i="8" s="1"/>
  <c r="BO28" i="8" s="1"/>
  <c r="BO29" i="8" s="1"/>
  <c r="BO30" i="8" s="1"/>
  <c r="BO31" i="8" s="1"/>
  <c r="BP26" i="8"/>
  <c r="BQ26" i="8"/>
  <c r="BQ27" i="8" s="1"/>
  <c r="BQ28" i="8" s="1"/>
  <c r="BQ29" i="8" s="1"/>
  <c r="BQ30" i="8" s="1"/>
  <c r="BQ31" i="8" s="1"/>
  <c r="BR26" i="8"/>
  <c r="BS26" i="8"/>
  <c r="BS27" i="8" s="1"/>
  <c r="BS28" i="8" s="1"/>
  <c r="BS29" i="8" s="1"/>
  <c r="BS30" i="8" s="1"/>
  <c r="BS31" i="8" s="1"/>
  <c r="BT26" i="8"/>
  <c r="BU26" i="8"/>
  <c r="BU27" i="8" s="1"/>
  <c r="BU28" i="8" s="1"/>
  <c r="BU29" i="8" s="1"/>
  <c r="BU30" i="8" s="1"/>
  <c r="BU31" i="8" s="1"/>
  <c r="BV26" i="8"/>
  <c r="BW26" i="8"/>
  <c r="BW27" i="8" s="1"/>
  <c r="BW28" i="8" s="1"/>
  <c r="BW29" i="8" s="1"/>
  <c r="BW30" i="8" s="1"/>
  <c r="BW31" i="8" s="1"/>
  <c r="BX26" i="8"/>
  <c r="BZ26" i="8"/>
  <c r="CA26" i="8"/>
  <c r="CA27" i="8" s="1"/>
  <c r="CA28" i="8" s="1"/>
  <c r="CA29" i="8" s="1"/>
  <c r="CA30" i="8" s="1"/>
  <c r="CA31" i="8" s="1"/>
  <c r="CB26" i="8"/>
  <c r="CC26" i="8"/>
  <c r="CC27" i="8" s="1"/>
  <c r="CC28" i="8" s="1"/>
  <c r="CC29" i="8" s="1"/>
  <c r="CC30" i="8" s="1"/>
  <c r="CC31" i="8" s="1"/>
  <c r="CD26" i="8"/>
  <c r="CE26" i="8"/>
  <c r="CE27" i="8" s="1"/>
  <c r="CE28" i="8" s="1"/>
  <c r="CE29" i="8" s="1"/>
  <c r="CE30" i="8" s="1"/>
  <c r="CE31" i="8" s="1"/>
  <c r="CF26" i="8"/>
  <c r="CG26" i="8"/>
  <c r="CG27" i="8" s="1"/>
  <c r="CG28" i="8" s="1"/>
  <c r="CG29" i="8" s="1"/>
  <c r="CG30" i="8" s="1"/>
  <c r="CG31" i="8" s="1"/>
  <c r="CH26" i="8"/>
  <c r="AT27" i="8"/>
  <c r="AT28" i="8" s="1"/>
  <c r="AT29" i="8" s="1"/>
  <c r="AT30" i="8" s="1"/>
  <c r="AT31" i="8" s="1"/>
  <c r="AT32" i="8" s="1"/>
  <c r="AU27" i="8"/>
  <c r="AV27" i="8"/>
  <c r="AV28" i="8" s="1"/>
  <c r="AV29" i="8" s="1"/>
  <c r="AV30" i="8" s="1"/>
  <c r="AV31" i="8" s="1"/>
  <c r="AV32" i="8" s="1"/>
  <c r="AW27" i="8"/>
  <c r="AX27" i="8"/>
  <c r="AX28" i="8" s="1"/>
  <c r="AX29" i="8" s="1"/>
  <c r="AX30" i="8" s="1"/>
  <c r="AX31" i="8" s="1"/>
  <c r="AX32" i="8" s="1"/>
  <c r="AY27" i="8"/>
  <c r="AZ27" i="8"/>
  <c r="AZ28" i="8" s="1"/>
  <c r="AZ29" i="8" s="1"/>
  <c r="AZ30" i="8" s="1"/>
  <c r="AZ31" i="8" s="1"/>
  <c r="AZ32" i="8" s="1"/>
  <c r="BA27" i="8"/>
  <c r="BB27" i="8"/>
  <c r="BB28" i="8" s="1"/>
  <c r="BB29" i="8" s="1"/>
  <c r="BB30" i="8" s="1"/>
  <c r="BB31" i="8" s="1"/>
  <c r="BB32" i="8" s="1"/>
  <c r="BD27" i="8"/>
  <c r="BD28" i="8" s="1"/>
  <c r="BD29" i="8" s="1"/>
  <c r="BD30" i="8" s="1"/>
  <c r="BD31" i="8" s="1"/>
  <c r="BD32" i="8" s="1"/>
  <c r="BE27" i="8"/>
  <c r="BF27" i="8"/>
  <c r="BF28" i="8" s="1"/>
  <c r="BF29" i="8" s="1"/>
  <c r="BF30" i="8" s="1"/>
  <c r="BF31" i="8" s="1"/>
  <c r="BF32" i="8" s="1"/>
  <c r="BH27" i="8"/>
  <c r="BH28" i="8" s="1"/>
  <c r="BH29" i="8" s="1"/>
  <c r="BH30" i="8" s="1"/>
  <c r="BH31" i="8" s="1"/>
  <c r="BH32" i="8" s="1"/>
  <c r="BI27" i="8"/>
  <c r="BJ27" i="8"/>
  <c r="BJ28" i="8" s="1"/>
  <c r="BJ29" i="8" s="1"/>
  <c r="BJ30" i="8" s="1"/>
  <c r="BJ31" i="8" s="1"/>
  <c r="BJ32" i="8" s="1"/>
  <c r="BL27" i="8"/>
  <c r="BL28" i="8" s="1"/>
  <c r="BL29" i="8" s="1"/>
  <c r="BL30" i="8" s="1"/>
  <c r="BL31" i="8" s="1"/>
  <c r="BL32" i="8" s="1"/>
  <c r="BN27" i="8"/>
  <c r="BN28" i="8" s="1"/>
  <c r="BN29" i="8" s="1"/>
  <c r="BN30" i="8" s="1"/>
  <c r="BN31" i="8" s="1"/>
  <c r="BN32" i="8" s="1"/>
  <c r="BP27" i="8"/>
  <c r="BP28" i="8" s="1"/>
  <c r="BP29" i="8" s="1"/>
  <c r="BP30" i="8" s="1"/>
  <c r="BP31" i="8" s="1"/>
  <c r="BP32" i="8" s="1"/>
  <c r="BR27" i="8"/>
  <c r="BR28" i="8" s="1"/>
  <c r="BR29" i="8" s="1"/>
  <c r="BR30" i="8" s="1"/>
  <c r="BR31" i="8" s="1"/>
  <c r="BR32" i="8" s="1"/>
  <c r="BT27" i="8"/>
  <c r="BT28" i="8" s="1"/>
  <c r="BT29" i="8" s="1"/>
  <c r="BT30" i="8" s="1"/>
  <c r="BT31" i="8" s="1"/>
  <c r="BT32" i="8" s="1"/>
  <c r="BV27" i="8"/>
  <c r="BV28" i="8" s="1"/>
  <c r="BV29" i="8" s="1"/>
  <c r="BV30" i="8" s="1"/>
  <c r="BV31" i="8" s="1"/>
  <c r="BV32" i="8" s="1"/>
  <c r="BX27" i="8"/>
  <c r="BX28" i="8" s="1"/>
  <c r="BX29" i="8" s="1"/>
  <c r="BX30" i="8" s="1"/>
  <c r="BX31" i="8" s="1"/>
  <c r="BX32" i="8" s="1"/>
  <c r="BZ27" i="8"/>
  <c r="BZ28" i="8" s="1"/>
  <c r="BZ29" i="8" s="1"/>
  <c r="BZ30" i="8" s="1"/>
  <c r="BZ31" i="8" s="1"/>
  <c r="BZ32" i="8" s="1"/>
  <c r="CB27" i="8"/>
  <c r="CB28" i="8" s="1"/>
  <c r="CB29" i="8" s="1"/>
  <c r="CB30" i="8" s="1"/>
  <c r="CB31" i="8" s="1"/>
  <c r="CB32" i="8" s="1"/>
  <c r="CD27" i="8"/>
  <c r="CD28" i="8" s="1"/>
  <c r="CD29" i="8" s="1"/>
  <c r="CD30" i="8" s="1"/>
  <c r="CD31" i="8" s="1"/>
  <c r="CD32" i="8" s="1"/>
  <c r="CF27" i="8"/>
  <c r="CF28" i="8" s="1"/>
  <c r="CF29" i="8" s="1"/>
  <c r="CF30" i="8" s="1"/>
  <c r="CF31" i="8" s="1"/>
  <c r="CF32" i="8" s="1"/>
  <c r="CH27" i="8"/>
  <c r="CH28" i="8" s="1"/>
  <c r="CH29" i="8" s="1"/>
  <c r="CH30" i="8" s="1"/>
  <c r="CH31" i="8" s="1"/>
  <c r="CH32" i="8" s="1"/>
  <c r="AU28" i="8"/>
  <c r="AU29" i="8" s="1"/>
  <c r="AU30" i="8" s="1"/>
  <c r="AU31" i="8" s="1"/>
  <c r="AU32" i="8" s="1"/>
  <c r="AU33" i="8" s="1"/>
  <c r="AW28" i="8"/>
  <c r="AW29" i="8" s="1"/>
  <c r="AW30" i="8" s="1"/>
  <c r="AW31" i="8" s="1"/>
  <c r="AW32" i="8" s="1"/>
  <c r="AW33" i="8" s="1"/>
  <c r="AY28" i="8"/>
  <c r="AY29" i="8" s="1"/>
  <c r="AY30" i="8" s="1"/>
  <c r="AY31" i="8" s="1"/>
  <c r="BA28" i="8"/>
  <c r="BA29" i="8" s="1"/>
  <c r="BA30" i="8" s="1"/>
  <c r="BA31" i="8" s="1"/>
  <c r="BE28" i="8"/>
  <c r="BE29" i="8" s="1"/>
  <c r="BE30" i="8" s="1"/>
  <c r="BE31" i="8" s="1"/>
  <c r="BI28" i="8"/>
  <c r="BI29" i="8" s="1"/>
  <c r="BI30" i="8" s="1"/>
  <c r="BI31" i="8" s="1"/>
  <c r="AY32" i="8"/>
  <c r="AY33" i="8" s="1"/>
  <c r="BA32" i="8"/>
  <c r="BA33" i="8" s="1"/>
  <c r="BC32" i="8"/>
  <c r="BC33" i="8" s="1"/>
  <c r="BE32" i="8"/>
  <c r="BE33" i="8" s="1"/>
  <c r="BG32" i="8"/>
  <c r="BG33" i="8" s="1"/>
  <c r="BI32" i="8"/>
  <c r="BI33" i="8" s="1"/>
  <c r="BK32" i="8"/>
  <c r="BK33" i="8" s="1"/>
  <c r="BM32" i="8"/>
  <c r="BM33" i="8" s="1"/>
  <c r="BO32" i="8"/>
  <c r="BO33" i="8" s="1"/>
  <c r="BQ32" i="8"/>
  <c r="BQ33" i="8" s="1"/>
  <c r="BS32" i="8"/>
  <c r="BS33" i="8" s="1"/>
  <c r="BU32" i="8"/>
  <c r="BU33" i="8" s="1"/>
  <c r="BW32" i="8"/>
  <c r="BW33" i="8" s="1"/>
  <c r="BY32" i="8"/>
  <c r="BY33" i="8" s="1"/>
  <c r="CA32" i="8"/>
  <c r="CA33" i="8" s="1"/>
  <c r="CC32" i="8"/>
  <c r="CC33" i="8" s="1"/>
  <c r="CE32" i="8"/>
  <c r="CE33" i="8" s="1"/>
  <c r="CG32" i="8"/>
  <c r="CG33" i="8" s="1"/>
  <c r="AT33" i="8"/>
  <c r="AT34" i="8" s="1"/>
  <c r="AV33" i="8"/>
  <c r="AV34" i="8" s="1"/>
  <c r="AX33" i="8"/>
  <c r="AX34" i="8" s="1"/>
  <c r="AZ33" i="8"/>
  <c r="AZ34" i="8" s="1"/>
  <c r="BB33" i="8"/>
  <c r="BB34" i="8" s="1"/>
  <c r="BD33" i="8"/>
  <c r="BD34" i="8" s="1"/>
  <c r="BF33" i="8"/>
  <c r="BF34" i="8" s="1"/>
  <c r="BH33" i="8"/>
  <c r="BH34" i="8" s="1"/>
  <c r="BJ33" i="8"/>
  <c r="BJ34" i="8" s="1"/>
  <c r="BL33" i="8"/>
  <c r="BL34" i="8" s="1"/>
  <c r="BN33" i="8"/>
  <c r="BN34" i="8" s="1"/>
  <c r="BP33" i="8"/>
  <c r="BP34" i="8" s="1"/>
  <c r="BR33" i="8"/>
  <c r="BR34" i="8" s="1"/>
  <c r="BT33" i="8"/>
  <c r="BT34" i="8" s="1"/>
  <c r="BV33" i="8"/>
  <c r="BV34" i="8" s="1"/>
  <c r="BX33" i="8"/>
  <c r="BX34" i="8" s="1"/>
  <c r="BZ33" i="8"/>
  <c r="BZ34" i="8" s="1"/>
  <c r="CB33" i="8"/>
  <c r="CB34" i="8" s="1"/>
  <c r="CD33" i="8"/>
  <c r="CD34" i="8" s="1"/>
  <c r="CF33" i="8"/>
  <c r="CH33" i="8"/>
  <c r="AU34" i="8"/>
  <c r="AW34" i="8"/>
  <c r="AY34" i="8"/>
  <c r="BA34" i="8"/>
  <c r="BC34" i="8"/>
  <c r="BE34" i="8"/>
  <c r="BG34" i="8"/>
  <c r="BI34" i="8"/>
  <c r="BK34" i="8"/>
  <c r="BM34" i="8"/>
  <c r="BO34" i="8"/>
  <c r="BQ34" i="8"/>
  <c r="BS34" i="8"/>
  <c r="BU34" i="8"/>
  <c r="BW34" i="8"/>
  <c r="BY34" i="8"/>
  <c r="CA34" i="8"/>
  <c r="CC34" i="8"/>
  <c r="CE34" i="8"/>
  <c r="CF34" i="8"/>
  <c r="CG34" i="8"/>
  <c r="CH34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U35" i="8"/>
  <c r="BV35" i="8"/>
  <c r="BW35" i="8"/>
  <c r="BX35" i="8"/>
  <c r="BY35" i="8"/>
  <c r="BZ35" i="8"/>
  <c r="CA35" i="8"/>
  <c r="CB35" i="8"/>
  <c r="CC35" i="8"/>
  <c r="CD35" i="8"/>
  <c r="CE35" i="8"/>
  <c r="CF35" i="8"/>
  <c r="CG35" i="8"/>
  <c r="CH35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U36" i="8"/>
  <c r="BV36" i="8"/>
  <c r="BW36" i="8"/>
  <c r="BX36" i="8"/>
  <c r="BY36" i="8"/>
  <c r="BZ36" i="8"/>
  <c r="CA36" i="8"/>
  <c r="CB36" i="8"/>
  <c r="CC36" i="8"/>
  <c r="CD36" i="8"/>
  <c r="CE36" i="8"/>
  <c r="CF36" i="8"/>
  <c r="CG36" i="8"/>
  <c r="CH36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U37" i="8"/>
  <c r="BV37" i="8"/>
  <c r="BW37" i="8"/>
  <c r="BX37" i="8"/>
  <c r="BY37" i="8"/>
  <c r="BZ37" i="8"/>
  <c r="CA37" i="8"/>
  <c r="CB37" i="8"/>
  <c r="CC37" i="8"/>
  <c r="CD37" i="8"/>
  <c r="CE37" i="8"/>
  <c r="CF37" i="8"/>
  <c r="CG37" i="8"/>
  <c r="CH37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U38" i="8"/>
  <c r="BV38" i="8"/>
  <c r="BW38" i="8"/>
  <c r="BX38" i="8"/>
  <c r="BY38" i="8"/>
  <c r="BZ38" i="8"/>
  <c r="CA38" i="8"/>
  <c r="CB38" i="8"/>
  <c r="CC38" i="8"/>
  <c r="CD38" i="8"/>
  <c r="CE38" i="8"/>
  <c r="CF38" i="8"/>
  <c r="CG38" i="8"/>
  <c r="CH38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K40" i="8" s="1"/>
  <c r="BL39" i="8"/>
  <c r="BM39" i="8"/>
  <c r="BM40" i="8" s="1"/>
  <c r="BN39" i="8"/>
  <c r="BO39" i="8"/>
  <c r="BO40" i="8" s="1"/>
  <c r="BP39" i="8"/>
  <c r="BQ39" i="8"/>
  <c r="BQ40" i="8" s="1"/>
  <c r="BR39" i="8"/>
  <c r="BS39" i="8"/>
  <c r="BS40" i="8" s="1"/>
  <c r="BT39" i="8"/>
  <c r="BU39" i="8"/>
  <c r="BU40" i="8" s="1"/>
  <c r="BV39" i="8"/>
  <c r="BW39" i="8"/>
  <c r="BW40" i="8" s="1"/>
  <c r="BX39" i="8"/>
  <c r="BY39" i="8"/>
  <c r="BY40" i="8" s="1"/>
  <c r="BZ39" i="8"/>
  <c r="CA39" i="8"/>
  <c r="CA40" i="8" s="1"/>
  <c r="CB39" i="8"/>
  <c r="CC39" i="8"/>
  <c r="CC40" i="8" s="1"/>
  <c r="CD39" i="8"/>
  <c r="CE39" i="8"/>
  <c r="CE40" i="8" s="1"/>
  <c r="CF39" i="8"/>
  <c r="CG39" i="8"/>
  <c r="CG40" i="8" s="1"/>
  <c r="CH39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L40" i="8"/>
  <c r="BN40" i="8"/>
  <c r="BP40" i="8"/>
  <c r="BR40" i="8"/>
  <c r="BT40" i="8"/>
  <c r="BV40" i="8"/>
  <c r="BX40" i="8"/>
  <c r="BZ40" i="8"/>
  <c r="CB40" i="8"/>
  <c r="CD40" i="8"/>
  <c r="CF40" i="8"/>
  <c r="CH40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BQ3" i="8"/>
  <c r="AV3" i="8"/>
  <c r="AU3" i="8"/>
  <c r="AT3" i="8"/>
  <c r="AT2" i="8"/>
  <c r="AS14" i="8"/>
  <c r="AS15" i="8" s="1"/>
  <c r="AS16" i="8" s="1"/>
  <c r="AS17" i="8" s="1"/>
  <c r="AS18" i="8" s="1"/>
  <c r="AS19" i="8" s="1"/>
  <c r="AS20" i="8" s="1"/>
  <c r="AS21" i="8" s="1"/>
  <c r="AS22" i="8" s="1"/>
  <c r="AS23" i="8" s="1"/>
  <c r="AS24" i="8" s="1"/>
  <c r="AS25" i="8" s="1"/>
  <c r="AS26" i="8" s="1"/>
  <c r="AS27" i="8" s="1"/>
  <c r="AS28" i="8" s="1"/>
  <c r="AS29" i="8" s="1"/>
  <c r="AS30" i="8" s="1"/>
  <c r="AS31" i="8" s="1"/>
  <c r="AS32" i="8" s="1"/>
  <c r="AS33" i="8" s="1"/>
  <c r="AS34" i="8" s="1"/>
  <c r="AS35" i="8" s="1"/>
  <c r="AS36" i="8" s="1"/>
  <c r="AS37" i="8" s="1"/>
  <c r="AS38" i="8" s="1"/>
  <c r="AS39" i="8" s="1"/>
  <c r="AS40" i="8" s="1"/>
  <c r="AS4" i="8"/>
  <c r="AS5" i="8" s="1"/>
  <c r="AS6" i="8" s="1"/>
  <c r="AS7" i="8" s="1"/>
  <c r="AS8" i="8" s="1"/>
  <c r="AS9" i="8" s="1"/>
  <c r="AS10" i="8" s="1"/>
  <c r="AS11" i="8" s="1"/>
  <c r="AS12" i="8" s="1"/>
  <c r="AS13" i="8" s="1"/>
  <c r="AS3" i="8"/>
  <c r="AS2" i="8"/>
  <c r="P2" i="3" l="1"/>
  <c r="Q2" i="3"/>
  <c r="R2" i="3"/>
  <c r="O2" i="3"/>
</calcChain>
</file>

<file path=xl/sharedStrings.xml><?xml version="1.0" encoding="utf-8"?>
<sst xmlns="http://schemas.openxmlformats.org/spreadsheetml/2006/main" count="194" uniqueCount="52">
  <si>
    <t>CT_JAN</t>
  </si>
  <si>
    <t>CT_FEB</t>
  </si>
  <si>
    <t>CT_MAR</t>
  </si>
  <si>
    <t>CT_JAN_P</t>
  </si>
  <si>
    <t>CT_FEB_P</t>
  </si>
  <si>
    <t>CT_MAR_P</t>
  </si>
  <si>
    <t>CT_JUN</t>
  </si>
  <si>
    <t>CT_JUL</t>
  </si>
  <si>
    <t>CT_AUG</t>
  </si>
  <si>
    <t>ALL_Consum</t>
  </si>
  <si>
    <t>ALL_Gener</t>
  </si>
  <si>
    <t>CT_DEC</t>
  </si>
  <si>
    <t>Elec_Consum</t>
  </si>
  <si>
    <t>Elec_Gener</t>
  </si>
  <si>
    <t>Year</t>
  </si>
  <si>
    <t>AGG_GHG</t>
  </si>
  <si>
    <t>COM_GHG</t>
  </si>
  <si>
    <t>TRANS_GHG</t>
  </si>
  <si>
    <t>RES_GHG</t>
  </si>
  <si>
    <t>CT_MAY</t>
  </si>
  <si>
    <t>CT_APR</t>
  </si>
  <si>
    <t>CT_SEP</t>
  </si>
  <si>
    <t>CT_OCT</t>
  </si>
  <si>
    <t>CT_NOV</t>
  </si>
  <si>
    <t>CT_APR_P</t>
  </si>
  <si>
    <t>CT_MAY_P</t>
  </si>
  <si>
    <t>CT_JUN_P</t>
  </si>
  <si>
    <t>CT_JUL_P</t>
  </si>
  <si>
    <t>CT_AUG_P</t>
  </si>
  <si>
    <t>CT_SEP_P</t>
  </si>
  <si>
    <t>CT_OCT_P</t>
  </si>
  <si>
    <t>CT_NOV_P</t>
  </si>
  <si>
    <t>CT_DEC_P</t>
  </si>
  <si>
    <t>CT_HDD_JAN</t>
  </si>
  <si>
    <t>CT_HDD_FEB</t>
  </si>
  <si>
    <t>CT_HDD_MAR</t>
  </si>
  <si>
    <t>CT_HDD_APR</t>
  </si>
  <si>
    <t>CT_HDD_MAY</t>
  </si>
  <si>
    <t>CT_HDD_JUN</t>
  </si>
  <si>
    <t>CT_HDD_JUL</t>
  </si>
  <si>
    <t>CT_HDD_AUG</t>
  </si>
  <si>
    <t>CT_HDD_NOV</t>
  </si>
  <si>
    <t>CT_HDD_OCT</t>
  </si>
  <si>
    <t>CT_HDD_SEP</t>
  </si>
  <si>
    <t>CT_HDD_DEC</t>
  </si>
  <si>
    <t>CT_CDD_MAY</t>
  </si>
  <si>
    <t>CT_CDD_JUN</t>
  </si>
  <si>
    <t>CT_CDD_JUL</t>
  </si>
  <si>
    <t>CT_CDD_AUG</t>
  </si>
  <si>
    <t>CT_CDD_SEP</t>
  </si>
  <si>
    <t>CT_CDD_OCT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</si>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</sst>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CT_all_sector!$Q$1</c:f>
              <c:strCache>
                <c:ptCount val="1"/>
                <c:pt idx="0">
                  <c:v>ALL_Consum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6.1286089238845145E-4"/>
                  <c:y val="-0.1213560804899387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CT_all_sector!$A$2:$A$27</c:f>
              <c:numCache>
                <c:formatCode>General</c:formatCode>
                <c:ptCount val="2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</c:numCache>
            </c:numRef>
          </c:cat>
          <c:val>
            <c:numRef>
              <c:f>CT_all_sector!$W$2:$W$27</c:f>
              <c:numCache>
                <c:formatCode>General</c:formatCode>
                <c:ptCount val="26"/>
                <c:pt idx="0">
                  <c:v>3.2318910674087045</c:v>
                </c:pt>
                <c:pt idx="1">
                  <c:v>3.3621717792945982</c:v>
                </c:pt>
                <c:pt idx="2">
                  <c:v>3.619936236791744</c:v>
                </c:pt>
                <c:pt idx="3">
                  <c:v>3.7207679149120745</c:v>
                </c:pt>
                <c:pt idx="4">
                  <c:v>3.4169437449125502</c:v>
                </c:pt>
                <c:pt idx="5">
                  <c:v>3.4042571947685105</c:v>
                </c:pt>
                <c:pt idx="6">
                  <c:v>3.6554256027131617</c:v>
                </c:pt>
                <c:pt idx="7">
                  <c:v>4.492958408889983</c:v>
                </c:pt>
                <c:pt idx="8">
                  <c:v>4.3407024183768375</c:v>
                </c:pt>
                <c:pt idx="9">
                  <c:v>4.3725278738931674</c:v>
                </c:pt>
                <c:pt idx="10">
                  <c:v>4.6271664503895247</c:v>
                </c:pt>
                <c:pt idx="11">
                  <c:v>4.3937736849395934</c:v>
                </c:pt>
                <c:pt idx="12">
                  <c:v>4.3712784082738256</c:v>
                </c:pt>
                <c:pt idx="13">
                  <c:v>4.7305065623983156</c:v>
                </c:pt>
                <c:pt idx="14">
                  <c:v>4.6931525162496799</c:v>
                </c:pt>
                <c:pt idx="15">
                  <c:v>4.6145716587212782</c:v>
                </c:pt>
                <c:pt idx="16">
                  <c:v>4.5271012006435747</c:v>
                </c:pt>
                <c:pt idx="17">
                  <c:v>4.2697486846895503</c:v>
                </c:pt>
                <c:pt idx="18">
                  <c:v>3.9295184838279167</c:v>
                </c:pt>
                <c:pt idx="19">
                  <c:v>3.9354200446839083</c:v>
                </c:pt>
                <c:pt idx="20">
                  <c:v>3.9022659996429252</c:v>
                </c:pt>
                <c:pt idx="21">
                  <c:v>4.039306005740154</c:v>
                </c:pt>
                <c:pt idx="22">
                  <c:v>3.9877001137314996</c:v>
                </c:pt>
                <c:pt idx="23">
                  <c:v>4.2485847006549156</c:v>
                </c:pt>
                <c:pt idx="24">
                  <c:v>4.1956291755094357</c:v>
                </c:pt>
                <c:pt idx="25">
                  <c:v>4.0723360328795728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885216"/>
        <c:axId val="480885608"/>
      </c:lineChart>
      <c:catAx>
        <c:axId val="480885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85608"/>
        <c:crosses val="autoZero"/>
        <c:auto val="1"/>
        <c:lblAlgn val="ctr"/>
        <c:lblOffset val="100"/>
        <c:noMultiLvlLbl val="0"/>
      </c:catAx>
      <c:valAx>
        <c:axId val="48088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88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490537</xdr:colOff>
      <xdr:row>6</xdr:row>
      <xdr:rowOff>95250</xdr:rowOff>
    </xdr:from>
    <xdr:to>
      <xdr:col>21</xdr:col>
      <xdr:colOff>157162</xdr:colOff>
      <xdr:row>20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0"/>
  <sheetViews>
    <sheetView workbookViewId="0">
      <selection activeCell="P5" sqref="P5"/>
    </sheetView>
  </sheetViews>
  <sheetFormatPr defaultRowHeight="15" x14ac:dyDescent="0.25"/>
  <sheetData>
    <row r="1" spans="1:16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12</v>
      </c>
      <c r="N1" t="s">
        <v>13</v>
      </c>
    </row>
    <row r="2" spans="1:16" x14ac:dyDescent="0.25">
      <c r="A2">
        <v>1980</v>
      </c>
      <c r="B2">
        <v>2.1</v>
      </c>
      <c r="C2">
        <v>-2.2999999999999998</v>
      </c>
      <c r="D2">
        <v>-0.8</v>
      </c>
      <c r="E2">
        <v>-2.37</v>
      </c>
      <c r="F2">
        <v>-2.36</v>
      </c>
      <c r="G2">
        <v>4.3899999999999997</v>
      </c>
      <c r="H2">
        <v>-2</v>
      </c>
      <c r="I2">
        <v>1.3</v>
      </c>
      <c r="J2">
        <v>3</v>
      </c>
      <c r="P2">
        <v>59</v>
      </c>
    </row>
    <row r="3" spans="1:16" x14ac:dyDescent="0.25">
      <c r="A3">
        <v>1981</v>
      </c>
      <c r="B3">
        <v>-7.7</v>
      </c>
      <c r="C3">
        <v>7.2</v>
      </c>
      <c r="D3">
        <v>0.6</v>
      </c>
      <c r="E3">
        <v>-3.05</v>
      </c>
      <c r="F3">
        <v>4.5599999999999996</v>
      </c>
      <c r="G3">
        <v>-3.51</v>
      </c>
      <c r="H3">
        <v>1.3</v>
      </c>
      <c r="I3">
        <v>1.5</v>
      </c>
      <c r="J3">
        <v>0.2</v>
      </c>
      <c r="P3">
        <v>58.2</v>
      </c>
    </row>
    <row r="4" spans="1:16" x14ac:dyDescent="0.25">
      <c r="A4">
        <v>1982</v>
      </c>
      <c r="B4">
        <v>-7.6</v>
      </c>
      <c r="C4">
        <v>1.7</v>
      </c>
      <c r="D4">
        <v>-0.6</v>
      </c>
      <c r="E4">
        <v>1.42</v>
      </c>
      <c r="F4">
        <v>7.0000000000000007E-2</v>
      </c>
      <c r="G4">
        <v>-1.53</v>
      </c>
      <c r="H4">
        <v>-2.8</v>
      </c>
      <c r="I4">
        <v>0.3</v>
      </c>
      <c r="J4">
        <v>-2</v>
      </c>
      <c r="P4">
        <v>58.8</v>
      </c>
    </row>
    <row r="5" spans="1:16" x14ac:dyDescent="0.25">
      <c r="A5">
        <v>1983</v>
      </c>
      <c r="B5">
        <v>1.6</v>
      </c>
      <c r="C5">
        <v>3.2</v>
      </c>
      <c r="D5">
        <v>3.2</v>
      </c>
      <c r="E5">
        <v>1.07</v>
      </c>
      <c r="F5">
        <v>0.51</v>
      </c>
      <c r="G5">
        <v>3.51</v>
      </c>
      <c r="H5">
        <v>1.8</v>
      </c>
      <c r="I5">
        <v>1.4</v>
      </c>
      <c r="J5">
        <v>2</v>
      </c>
      <c r="P5">
        <v>54.9</v>
      </c>
    </row>
    <row r="6" spans="1:16" x14ac:dyDescent="0.25">
      <c r="A6">
        <v>1984</v>
      </c>
      <c r="B6">
        <v>-2.9</v>
      </c>
      <c r="C6">
        <v>8</v>
      </c>
      <c r="D6">
        <v>-4.4000000000000004</v>
      </c>
      <c r="E6">
        <v>-1.72</v>
      </c>
      <c r="F6">
        <v>2.0299999999999998</v>
      </c>
      <c r="G6">
        <v>0.84</v>
      </c>
      <c r="H6">
        <v>2.2999999999999998</v>
      </c>
      <c r="I6">
        <v>-1.1000000000000001</v>
      </c>
      <c r="J6">
        <v>2.6</v>
      </c>
      <c r="P6">
        <v>55.3</v>
      </c>
    </row>
    <row r="7" spans="1:16" x14ac:dyDescent="0.25">
      <c r="A7">
        <v>1985</v>
      </c>
      <c r="B7">
        <v>-3.6</v>
      </c>
      <c r="C7">
        <v>2.8</v>
      </c>
      <c r="D7">
        <v>3.6</v>
      </c>
      <c r="E7">
        <v>-2.68</v>
      </c>
      <c r="F7">
        <v>-0.94</v>
      </c>
      <c r="G7">
        <v>-1.75</v>
      </c>
      <c r="H7">
        <v>-3</v>
      </c>
      <c r="I7">
        <v>-0.2</v>
      </c>
      <c r="J7">
        <v>0</v>
      </c>
      <c r="P7">
        <v>59</v>
      </c>
    </row>
    <row r="8" spans="1:16" x14ac:dyDescent="0.25">
      <c r="A8">
        <v>1986</v>
      </c>
      <c r="B8">
        <v>2</v>
      </c>
      <c r="C8">
        <v>-0.6</v>
      </c>
      <c r="D8">
        <v>2</v>
      </c>
      <c r="E8">
        <v>1.23</v>
      </c>
      <c r="F8">
        <v>0.12</v>
      </c>
      <c r="G8">
        <v>-1.02</v>
      </c>
      <c r="H8">
        <v>-1</v>
      </c>
      <c r="I8">
        <v>-0.5</v>
      </c>
      <c r="J8">
        <v>-1.6</v>
      </c>
      <c r="P8">
        <v>59.1</v>
      </c>
    </row>
    <row r="9" spans="1:16" x14ac:dyDescent="0.25">
      <c r="A9">
        <v>1987</v>
      </c>
      <c r="B9">
        <v>0.1</v>
      </c>
      <c r="C9">
        <v>0</v>
      </c>
      <c r="D9">
        <v>2.9</v>
      </c>
      <c r="E9">
        <v>1.64</v>
      </c>
      <c r="F9">
        <v>-2.79</v>
      </c>
      <c r="G9">
        <v>0.1</v>
      </c>
      <c r="H9">
        <v>1.9</v>
      </c>
      <c r="I9">
        <v>1.6</v>
      </c>
      <c r="J9">
        <v>-1.3</v>
      </c>
      <c r="P9">
        <v>57.7</v>
      </c>
    </row>
    <row r="10" spans="1:16" x14ac:dyDescent="0.25">
      <c r="A10">
        <v>1988</v>
      </c>
      <c r="B10">
        <v>-3</v>
      </c>
      <c r="C10">
        <v>1.9</v>
      </c>
      <c r="D10">
        <v>1.7</v>
      </c>
      <c r="E10">
        <v>-0.64</v>
      </c>
      <c r="F10">
        <v>0.72</v>
      </c>
      <c r="G10">
        <v>-1.3</v>
      </c>
      <c r="H10">
        <v>0</v>
      </c>
      <c r="I10">
        <v>2.4</v>
      </c>
      <c r="J10">
        <v>3.8</v>
      </c>
      <c r="P10">
        <v>57.6</v>
      </c>
    </row>
    <row r="11" spans="1:16" x14ac:dyDescent="0.25">
      <c r="A11">
        <v>1989</v>
      </c>
      <c r="B11">
        <v>4.7</v>
      </c>
      <c r="C11">
        <v>1.4</v>
      </c>
      <c r="D11">
        <v>0.7</v>
      </c>
      <c r="E11">
        <v>-2.0299999999999998</v>
      </c>
      <c r="F11">
        <v>-0.64</v>
      </c>
      <c r="G11">
        <v>-0.77</v>
      </c>
      <c r="H11">
        <v>1.5</v>
      </c>
      <c r="I11">
        <v>-0.3</v>
      </c>
      <c r="J11">
        <v>0.6</v>
      </c>
      <c r="P11">
        <v>57.9</v>
      </c>
    </row>
    <row r="12" spans="1:16" x14ac:dyDescent="0.25">
      <c r="A12">
        <v>1990</v>
      </c>
      <c r="B12">
        <v>8.9</v>
      </c>
      <c r="C12">
        <v>6.3</v>
      </c>
      <c r="D12">
        <v>3.2</v>
      </c>
      <c r="E12">
        <v>1.17</v>
      </c>
      <c r="F12">
        <v>0.01</v>
      </c>
      <c r="G12">
        <v>-1.46</v>
      </c>
      <c r="H12">
        <v>1.1000000000000001</v>
      </c>
      <c r="I12">
        <v>0.8</v>
      </c>
      <c r="J12">
        <v>1.9</v>
      </c>
      <c r="K12">
        <v>44.408780817796789</v>
      </c>
      <c r="L12">
        <v>44.62589612483152</v>
      </c>
      <c r="M12">
        <v>11.908703011635628</v>
      </c>
      <c r="N12">
        <v>12.125818318670358</v>
      </c>
      <c r="P12">
        <v>54.6</v>
      </c>
    </row>
    <row r="13" spans="1:16" x14ac:dyDescent="0.25">
      <c r="A13">
        <v>1991</v>
      </c>
      <c r="B13">
        <v>1.3</v>
      </c>
      <c r="C13">
        <v>6.6</v>
      </c>
      <c r="D13">
        <v>4</v>
      </c>
      <c r="E13">
        <v>-0.88</v>
      </c>
      <c r="F13">
        <v>-1.28</v>
      </c>
      <c r="G13">
        <v>0.88</v>
      </c>
      <c r="H13">
        <v>2.6</v>
      </c>
      <c r="I13">
        <v>0.9</v>
      </c>
      <c r="J13">
        <v>2.1</v>
      </c>
      <c r="K13">
        <v>44.19188050607449</v>
      </c>
      <c r="L13">
        <v>43.95194370501013</v>
      </c>
      <c r="M13">
        <v>12.015808424267215</v>
      </c>
      <c r="N13">
        <v>11.775871623202862</v>
      </c>
      <c r="P13">
        <v>62.6</v>
      </c>
    </row>
    <row r="14" spans="1:16" x14ac:dyDescent="0.25">
      <c r="A14">
        <v>1992</v>
      </c>
      <c r="B14">
        <v>2.9</v>
      </c>
      <c r="C14">
        <v>3.5</v>
      </c>
      <c r="D14">
        <v>-1.8</v>
      </c>
      <c r="E14">
        <v>-1.04</v>
      </c>
      <c r="F14">
        <v>-1.17</v>
      </c>
      <c r="G14">
        <v>0.13</v>
      </c>
      <c r="H14">
        <v>-1.1000000000000001</v>
      </c>
      <c r="I14">
        <v>-2.2999999999999998</v>
      </c>
      <c r="J14">
        <v>-1.5</v>
      </c>
      <c r="K14">
        <v>46.141380281769344</v>
      </c>
      <c r="L14">
        <v>44.63046124308768</v>
      </c>
      <c r="M14">
        <v>11.282675657441759</v>
      </c>
      <c r="N14">
        <v>9.7717566187600919</v>
      </c>
      <c r="P14">
        <v>56.6</v>
      </c>
    </row>
    <row r="15" spans="1:16" x14ac:dyDescent="0.25">
      <c r="A15">
        <v>1993</v>
      </c>
      <c r="B15">
        <v>3.9</v>
      </c>
      <c r="C15">
        <v>-3.2</v>
      </c>
      <c r="D15">
        <v>-2.2999999999999998</v>
      </c>
      <c r="E15">
        <v>-1</v>
      </c>
      <c r="F15">
        <v>-0.34</v>
      </c>
      <c r="G15">
        <v>2.41</v>
      </c>
      <c r="H15">
        <v>0.9</v>
      </c>
      <c r="I15">
        <v>1.8</v>
      </c>
      <c r="J15">
        <v>2.6</v>
      </c>
      <c r="K15">
        <v>44.480507494266313</v>
      </c>
      <c r="L15">
        <v>42.902404236550595</v>
      </c>
      <c r="M15">
        <v>10.22866671361591</v>
      </c>
      <c r="N15">
        <v>8.650563455900194</v>
      </c>
      <c r="P15">
        <v>59.2</v>
      </c>
    </row>
    <row r="16" spans="1:16" x14ac:dyDescent="0.25">
      <c r="A16">
        <v>1994</v>
      </c>
      <c r="B16">
        <v>-6.7</v>
      </c>
      <c r="C16">
        <v>-3.5</v>
      </c>
      <c r="D16">
        <v>-0.2</v>
      </c>
      <c r="E16">
        <v>1.94</v>
      </c>
      <c r="F16">
        <v>-0.45</v>
      </c>
      <c r="G16">
        <v>1.7</v>
      </c>
      <c r="H16">
        <v>3.4</v>
      </c>
      <c r="I16">
        <v>4.3</v>
      </c>
      <c r="J16">
        <v>-0.2</v>
      </c>
      <c r="K16">
        <v>44.253956490308525</v>
      </c>
      <c r="L16">
        <v>42.371449558927942</v>
      </c>
      <c r="M16">
        <v>10.395885380019983</v>
      </c>
      <c r="N16">
        <v>8.5133784486393971</v>
      </c>
      <c r="P16">
        <v>56</v>
      </c>
    </row>
    <row r="17" spans="1:16" x14ac:dyDescent="0.25">
      <c r="A17">
        <v>1995</v>
      </c>
      <c r="B17">
        <v>6.9</v>
      </c>
      <c r="C17">
        <v>-0.5</v>
      </c>
      <c r="D17">
        <v>3.9</v>
      </c>
      <c r="E17">
        <v>0.24</v>
      </c>
      <c r="F17">
        <v>-0.44</v>
      </c>
      <c r="G17">
        <v>-1.79</v>
      </c>
      <c r="H17">
        <v>1.6</v>
      </c>
      <c r="I17">
        <v>3.1</v>
      </c>
      <c r="J17">
        <v>1.7</v>
      </c>
      <c r="K17">
        <v>42.924934286898051</v>
      </c>
      <c r="L17">
        <v>42.34161012089119</v>
      </c>
      <c r="M17">
        <v>10.320433330320103</v>
      </c>
      <c r="N17">
        <v>9.7371091643132477</v>
      </c>
      <c r="P17">
        <v>55.7</v>
      </c>
    </row>
    <row r="18" spans="1:16" x14ac:dyDescent="0.25">
      <c r="A18">
        <v>1996</v>
      </c>
      <c r="B18">
        <v>-0.2</v>
      </c>
      <c r="C18">
        <v>1.1000000000000001</v>
      </c>
      <c r="D18">
        <v>-2</v>
      </c>
      <c r="E18">
        <v>3</v>
      </c>
      <c r="F18">
        <v>-0.6</v>
      </c>
      <c r="G18">
        <v>-1.28</v>
      </c>
      <c r="H18">
        <v>1.7</v>
      </c>
      <c r="I18">
        <v>-1.3</v>
      </c>
      <c r="J18">
        <v>1.2</v>
      </c>
      <c r="K18">
        <v>45.166796134916574</v>
      </c>
      <c r="L18">
        <v>45.743162287544827</v>
      </c>
      <c r="M18">
        <v>10.734700429507201</v>
      </c>
      <c r="N18">
        <v>11.311066582135453</v>
      </c>
      <c r="P18">
        <v>55.8</v>
      </c>
    </row>
    <row r="19" spans="1:16" x14ac:dyDescent="0.25">
      <c r="A19">
        <v>1997</v>
      </c>
      <c r="B19">
        <v>1.5</v>
      </c>
      <c r="C19">
        <v>7.6</v>
      </c>
      <c r="D19">
        <v>0.4</v>
      </c>
      <c r="E19">
        <v>0.18</v>
      </c>
      <c r="F19">
        <v>-1.21</v>
      </c>
      <c r="G19">
        <v>-0.08</v>
      </c>
      <c r="H19">
        <v>0.9</v>
      </c>
      <c r="I19">
        <v>0.1</v>
      </c>
      <c r="J19">
        <v>-0.2</v>
      </c>
      <c r="K19">
        <v>48.838702298609633</v>
      </c>
      <c r="L19">
        <v>50.144145289764367</v>
      </c>
      <c r="M19">
        <v>13.201969739517997</v>
      </c>
      <c r="N19">
        <v>14.507412730672725</v>
      </c>
      <c r="P19">
        <v>54.2</v>
      </c>
    </row>
    <row r="20" spans="1:16" x14ac:dyDescent="0.25">
      <c r="A20">
        <v>1998</v>
      </c>
      <c r="B20">
        <v>7.7</v>
      </c>
      <c r="C20">
        <v>8.9</v>
      </c>
      <c r="D20">
        <v>3.9</v>
      </c>
      <c r="E20">
        <v>0.94</v>
      </c>
      <c r="F20">
        <v>0.69</v>
      </c>
      <c r="G20">
        <v>1.91</v>
      </c>
      <c r="H20">
        <v>-0.2</v>
      </c>
      <c r="I20">
        <v>0.5</v>
      </c>
      <c r="J20">
        <v>3</v>
      </c>
      <c r="K20">
        <v>47.294503783922437</v>
      </c>
      <c r="L20">
        <v>47.693873219998849</v>
      </c>
      <c r="M20">
        <v>12.948870196922446</v>
      </c>
      <c r="N20">
        <v>13.348239632998851</v>
      </c>
      <c r="P20">
        <v>61</v>
      </c>
    </row>
    <row r="21" spans="1:16" x14ac:dyDescent="0.25">
      <c r="A21">
        <v>1999</v>
      </c>
      <c r="B21">
        <v>2</v>
      </c>
      <c r="C21">
        <v>5.4</v>
      </c>
      <c r="D21">
        <v>2</v>
      </c>
      <c r="E21">
        <v>3.57</v>
      </c>
      <c r="F21">
        <v>0.45</v>
      </c>
      <c r="G21">
        <v>1.23</v>
      </c>
      <c r="H21">
        <v>3.4</v>
      </c>
      <c r="I21">
        <v>4.0999999999999996</v>
      </c>
      <c r="J21">
        <v>1.2</v>
      </c>
      <c r="K21">
        <v>48.971648046952886</v>
      </c>
      <c r="L21">
        <v>48.908236966484935</v>
      </c>
      <c r="M21">
        <v>12.210133852255002</v>
      </c>
      <c r="N21">
        <v>12.146722771787049</v>
      </c>
      <c r="P21">
        <v>58.5</v>
      </c>
    </row>
    <row r="22" spans="1:16" x14ac:dyDescent="0.25">
      <c r="A22">
        <v>2000</v>
      </c>
      <c r="B22">
        <v>-0.8</v>
      </c>
      <c r="C22">
        <v>5</v>
      </c>
      <c r="D22">
        <v>6.5</v>
      </c>
      <c r="E22">
        <v>-0.28000000000000003</v>
      </c>
      <c r="F22">
        <v>-0.69</v>
      </c>
      <c r="G22">
        <v>-0.08</v>
      </c>
      <c r="H22">
        <v>0.6</v>
      </c>
      <c r="I22">
        <v>-2.9</v>
      </c>
      <c r="J22">
        <v>-0.7</v>
      </c>
      <c r="K22">
        <v>49.65530365161824</v>
      </c>
      <c r="L22">
        <v>50.323403348930967</v>
      </c>
      <c r="M22">
        <v>11.989900612431979</v>
      </c>
      <c r="N22">
        <v>12.658000309744708</v>
      </c>
      <c r="P22">
        <v>57.9</v>
      </c>
    </row>
    <row r="23" spans="1:16" x14ac:dyDescent="0.25">
      <c r="A23">
        <v>2001</v>
      </c>
      <c r="B23">
        <v>0.4</v>
      </c>
      <c r="C23">
        <v>3.2</v>
      </c>
      <c r="D23">
        <v>-1.3</v>
      </c>
      <c r="E23">
        <v>-1.28</v>
      </c>
      <c r="F23">
        <v>-0.72</v>
      </c>
      <c r="G23">
        <v>3.49</v>
      </c>
      <c r="H23">
        <v>2.7</v>
      </c>
      <c r="I23">
        <v>-2.5</v>
      </c>
      <c r="J23">
        <v>4.2</v>
      </c>
      <c r="K23">
        <v>49.976332775467526</v>
      </c>
      <c r="L23">
        <v>49.049107506480681</v>
      </c>
      <c r="M23">
        <v>12.343415698509945</v>
      </c>
      <c r="N23">
        <v>11.4161904295231</v>
      </c>
      <c r="P23">
        <v>58.9</v>
      </c>
    </row>
    <row r="24" spans="1:16" x14ac:dyDescent="0.25">
      <c r="A24">
        <v>2002</v>
      </c>
      <c r="B24">
        <v>7.9</v>
      </c>
      <c r="C24">
        <v>7.8</v>
      </c>
      <c r="D24">
        <v>3.2</v>
      </c>
      <c r="E24">
        <v>-1.79</v>
      </c>
      <c r="F24">
        <v>-1.61</v>
      </c>
      <c r="G24">
        <v>-7.0000000000000007E-2</v>
      </c>
      <c r="H24">
        <v>0.1</v>
      </c>
      <c r="I24">
        <v>2.1</v>
      </c>
      <c r="J24">
        <v>3.3</v>
      </c>
      <c r="K24">
        <v>48.994755656283935</v>
      </c>
      <c r="L24">
        <v>47.390261616864528</v>
      </c>
      <c r="M24">
        <v>11.983738560961358</v>
      </c>
      <c r="N24">
        <v>10.379244521541946</v>
      </c>
      <c r="P24">
        <v>55.1</v>
      </c>
    </row>
    <row r="25" spans="1:16" x14ac:dyDescent="0.25">
      <c r="A25">
        <v>2003</v>
      </c>
      <c r="B25">
        <v>-4</v>
      </c>
      <c r="C25">
        <v>-2.5</v>
      </c>
      <c r="D25">
        <v>0.6</v>
      </c>
      <c r="E25">
        <v>-1.08</v>
      </c>
      <c r="F25">
        <v>0.54</v>
      </c>
      <c r="G25">
        <v>0.11</v>
      </c>
      <c r="H25">
        <v>-0.7</v>
      </c>
      <c r="I25">
        <v>0.8</v>
      </c>
      <c r="J25">
        <v>3.6</v>
      </c>
      <c r="K25">
        <v>52.609510670346005</v>
      </c>
      <c r="L25">
        <v>49.903133185510285</v>
      </c>
      <c r="M25">
        <v>12.355896167381317</v>
      </c>
      <c r="N25">
        <v>9.6495186825455992</v>
      </c>
      <c r="P25">
        <v>55</v>
      </c>
    </row>
    <row r="26" spans="1:16" x14ac:dyDescent="0.25">
      <c r="A26">
        <v>2004</v>
      </c>
      <c r="B26">
        <v>-6.7</v>
      </c>
      <c r="C26">
        <v>2.2000000000000002</v>
      </c>
      <c r="D26">
        <v>2.6</v>
      </c>
      <c r="E26">
        <v>-1.84</v>
      </c>
      <c r="F26">
        <v>-1.1100000000000001</v>
      </c>
      <c r="G26">
        <v>-1.22</v>
      </c>
      <c r="H26">
        <v>-0.4</v>
      </c>
      <c r="I26">
        <v>-0.7</v>
      </c>
      <c r="J26">
        <v>1</v>
      </c>
      <c r="K26">
        <v>53.638109347280235</v>
      </c>
      <c r="L26">
        <v>51.828640559967518</v>
      </c>
      <c r="M26">
        <v>12.228978878725954</v>
      </c>
      <c r="N26">
        <v>10.419510091413237</v>
      </c>
      <c r="P26">
        <v>59.9</v>
      </c>
    </row>
    <row r="27" spans="1:16" x14ac:dyDescent="0.25">
      <c r="A27">
        <v>2005</v>
      </c>
      <c r="B27">
        <v>-1.1000000000000001</v>
      </c>
      <c r="C27">
        <v>3.4</v>
      </c>
      <c r="D27">
        <v>-3.1</v>
      </c>
      <c r="E27">
        <v>1.1200000000000001</v>
      </c>
      <c r="F27">
        <v>-0.79</v>
      </c>
      <c r="G27">
        <v>-0.18</v>
      </c>
      <c r="H27">
        <v>4.2</v>
      </c>
      <c r="I27">
        <v>1.7</v>
      </c>
      <c r="J27">
        <v>4.4000000000000004</v>
      </c>
      <c r="K27">
        <v>52.005117172650095</v>
      </c>
      <c r="L27">
        <v>51.008316899439876</v>
      </c>
      <c r="M27">
        <v>12.670138824478334</v>
      </c>
      <c r="N27">
        <v>11.673338551268115</v>
      </c>
      <c r="P27">
        <v>53.1</v>
      </c>
    </row>
    <row r="28" spans="1:16" x14ac:dyDescent="0.25">
      <c r="A28">
        <v>2006</v>
      </c>
      <c r="B28">
        <v>8.3000000000000007</v>
      </c>
      <c r="C28">
        <v>3.2</v>
      </c>
      <c r="D28">
        <v>1.3</v>
      </c>
      <c r="E28">
        <v>2.1800000000000002</v>
      </c>
      <c r="F28">
        <v>-0.8</v>
      </c>
      <c r="G28">
        <v>-3.47</v>
      </c>
      <c r="H28">
        <v>1.7</v>
      </c>
      <c r="I28">
        <v>3.4</v>
      </c>
      <c r="J28">
        <v>1.2</v>
      </c>
      <c r="K28">
        <v>47.663533716225395</v>
      </c>
      <c r="L28">
        <v>47.749214334109887</v>
      </c>
      <c r="M28">
        <v>11.08142070071079</v>
      </c>
      <c r="N28">
        <v>11.167101318595286</v>
      </c>
      <c r="P28">
        <v>57.2</v>
      </c>
    </row>
    <row r="29" spans="1:16" x14ac:dyDescent="0.25">
      <c r="A29">
        <v>2007</v>
      </c>
      <c r="B29">
        <v>5.9</v>
      </c>
      <c r="C29">
        <v>-3</v>
      </c>
      <c r="D29">
        <v>-0.3</v>
      </c>
      <c r="E29">
        <v>-0.3</v>
      </c>
      <c r="F29">
        <v>-1.27</v>
      </c>
      <c r="G29">
        <v>1.05</v>
      </c>
      <c r="H29">
        <v>1.2</v>
      </c>
      <c r="I29">
        <v>0.2</v>
      </c>
      <c r="J29">
        <v>1.7</v>
      </c>
      <c r="K29">
        <v>47.56963291419698</v>
      </c>
      <c r="L29">
        <v>46.74611941152029</v>
      </c>
      <c r="M29">
        <v>11.291854503543206</v>
      </c>
      <c r="N29">
        <v>10.468341000866527</v>
      </c>
      <c r="P29">
        <v>59.6</v>
      </c>
    </row>
    <row r="30" spans="1:16" x14ac:dyDescent="0.25">
      <c r="A30">
        <v>2008</v>
      </c>
      <c r="B30">
        <v>4.3</v>
      </c>
      <c r="C30">
        <v>3.5</v>
      </c>
      <c r="D30">
        <v>1.1000000000000001</v>
      </c>
      <c r="E30">
        <v>-1.28</v>
      </c>
      <c r="F30">
        <v>5.0599999999999996</v>
      </c>
      <c r="G30">
        <v>1.32</v>
      </c>
      <c r="H30">
        <v>3.2</v>
      </c>
      <c r="I30">
        <v>2.6</v>
      </c>
      <c r="J30">
        <v>-0.8</v>
      </c>
      <c r="K30">
        <v>44.973069250911145</v>
      </c>
      <c r="L30">
        <v>44.340723637161659</v>
      </c>
      <c r="M30">
        <v>10.093072782062062</v>
      </c>
      <c r="N30">
        <v>9.4607271683125802</v>
      </c>
      <c r="P30">
        <v>55.1</v>
      </c>
    </row>
    <row r="31" spans="1:16" x14ac:dyDescent="0.25">
      <c r="A31">
        <v>2009</v>
      </c>
      <c r="B31">
        <v>-4.4000000000000004</v>
      </c>
      <c r="C31">
        <v>3.9</v>
      </c>
      <c r="D31">
        <v>1.4</v>
      </c>
      <c r="E31">
        <v>-0.73</v>
      </c>
      <c r="F31">
        <v>-1.8</v>
      </c>
      <c r="G31">
        <v>-1.84</v>
      </c>
      <c r="H31">
        <v>-1.4</v>
      </c>
      <c r="I31">
        <v>-2</v>
      </c>
      <c r="J31">
        <v>3.1</v>
      </c>
      <c r="K31">
        <v>45.72989793155314</v>
      </c>
      <c r="L31">
        <v>42.318450241056084</v>
      </c>
      <c r="M31">
        <v>11.454199128109076</v>
      </c>
      <c r="N31">
        <v>8.0427514376120239</v>
      </c>
      <c r="P31">
        <v>57.8</v>
      </c>
    </row>
    <row r="32" spans="1:16" x14ac:dyDescent="0.25">
      <c r="A32">
        <v>2010</v>
      </c>
      <c r="B32">
        <v>1.6</v>
      </c>
      <c r="C32">
        <v>3.5</v>
      </c>
      <c r="D32">
        <v>7.6</v>
      </c>
      <c r="E32">
        <v>-0.79</v>
      </c>
      <c r="F32">
        <v>1.23</v>
      </c>
      <c r="G32">
        <v>5.76</v>
      </c>
      <c r="H32">
        <v>3.5</v>
      </c>
      <c r="I32">
        <v>4.4000000000000004</v>
      </c>
      <c r="J32">
        <v>2.4</v>
      </c>
      <c r="K32">
        <v>45.699993097765386</v>
      </c>
      <c r="L32">
        <v>42.936389907855798</v>
      </c>
      <c r="M32">
        <v>11.964953399116686</v>
      </c>
      <c r="N32">
        <v>9.2013502092070993</v>
      </c>
      <c r="P32">
        <v>60.9</v>
      </c>
    </row>
    <row r="33" spans="1:16" x14ac:dyDescent="0.25">
      <c r="A33">
        <v>2011</v>
      </c>
      <c r="B33">
        <v>-2.2000000000000002</v>
      </c>
      <c r="C33">
        <v>0.8</v>
      </c>
      <c r="D33">
        <v>1.6</v>
      </c>
      <c r="E33">
        <v>-0.37</v>
      </c>
      <c r="F33">
        <v>0.56000000000000005</v>
      </c>
      <c r="G33">
        <v>0.55000000000000004</v>
      </c>
      <c r="H33">
        <v>1.5</v>
      </c>
      <c r="I33">
        <v>3.4</v>
      </c>
      <c r="J33">
        <v>2.2000000000000002</v>
      </c>
      <c r="K33">
        <v>43.922020233600058</v>
      </c>
      <c r="L33">
        <v>41.643193317810152</v>
      </c>
      <c r="M33">
        <v>10.461509104253894</v>
      </c>
      <c r="N33">
        <v>8.1826821884639784</v>
      </c>
      <c r="P33">
        <v>59.7</v>
      </c>
    </row>
    <row r="34" spans="1:16" x14ac:dyDescent="0.25">
      <c r="A34">
        <v>2012</v>
      </c>
      <c r="B34">
        <v>6.3</v>
      </c>
      <c r="C34">
        <v>8.6999999999999993</v>
      </c>
      <c r="D34">
        <v>10.4</v>
      </c>
      <c r="E34">
        <v>-0.87</v>
      </c>
      <c r="F34">
        <v>-2.19</v>
      </c>
      <c r="G34">
        <v>-2.89</v>
      </c>
      <c r="H34">
        <v>1</v>
      </c>
      <c r="I34">
        <v>3.4</v>
      </c>
      <c r="J34">
        <v>3.4</v>
      </c>
      <c r="K34">
        <v>41.69824574952532</v>
      </c>
      <c r="L34">
        <v>41.040044987909418</v>
      </c>
      <c r="M34">
        <v>9.6302283298383689</v>
      </c>
      <c r="N34">
        <v>8.9720275682224653</v>
      </c>
      <c r="P34">
        <v>61.6</v>
      </c>
    </row>
    <row r="35" spans="1:16" x14ac:dyDescent="0.25">
      <c r="A35">
        <v>2013</v>
      </c>
      <c r="B35">
        <v>3.4</v>
      </c>
      <c r="C35">
        <v>2.9</v>
      </c>
      <c r="D35">
        <v>0.6</v>
      </c>
      <c r="E35">
        <v>-2.0099999999999998</v>
      </c>
      <c r="F35">
        <v>0.34</v>
      </c>
      <c r="G35">
        <v>-1.84</v>
      </c>
      <c r="H35">
        <v>2.2999999999999998</v>
      </c>
      <c r="I35">
        <v>5.2</v>
      </c>
      <c r="J35">
        <v>0.1</v>
      </c>
      <c r="K35">
        <v>42.792904087170513</v>
      </c>
      <c r="L35">
        <v>42.036201146397715</v>
      </c>
      <c r="M35">
        <v>9.4730563839953703</v>
      </c>
      <c r="N35">
        <v>8.716353443222582</v>
      </c>
      <c r="P35">
        <v>58.2</v>
      </c>
    </row>
    <row r="36" spans="1:16" x14ac:dyDescent="0.25">
      <c r="A36">
        <v>2014</v>
      </c>
      <c r="B36">
        <v>-1.8</v>
      </c>
      <c r="C36">
        <v>-1.3</v>
      </c>
      <c r="D36">
        <v>-4.8</v>
      </c>
      <c r="E36">
        <v>-0.93</v>
      </c>
      <c r="F36">
        <v>0.14000000000000001</v>
      </c>
      <c r="G36">
        <v>0.03</v>
      </c>
      <c r="H36">
        <v>1.4</v>
      </c>
      <c r="I36">
        <v>1.2</v>
      </c>
      <c r="J36">
        <v>-0.2</v>
      </c>
      <c r="K36">
        <v>43.477042228209342</v>
      </c>
      <c r="L36">
        <v>42.11111531524547</v>
      </c>
      <c r="M36">
        <v>9.8118162788426488</v>
      </c>
      <c r="N36">
        <v>8.4458893658787755</v>
      </c>
      <c r="P36">
        <v>58.3</v>
      </c>
    </row>
    <row r="37" spans="1:16" x14ac:dyDescent="0.25">
      <c r="A37">
        <v>2015</v>
      </c>
      <c r="B37">
        <v>-2.1</v>
      </c>
      <c r="C37">
        <v>-10.5</v>
      </c>
      <c r="D37">
        <v>-4.4000000000000004</v>
      </c>
      <c r="E37">
        <v>-0.26</v>
      </c>
      <c r="F37">
        <v>-1.27</v>
      </c>
      <c r="G37">
        <v>-1.1399999999999999</v>
      </c>
      <c r="H37">
        <v>-0.1</v>
      </c>
      <c r="I37">
        <v>1.5</v>
      </c>
      <c r="J37">
        <v>3.4</v>
      </c>
      <c r="K37">
        <v>45.273153388990714</v>
      </c>
      <c r="L37">
        <v>43.363045364635447</v>
      </c>
      <c r="M37">
        <v>10.950615190338448</v>
      </c>
      <c r="N37">
        <v>9.0405071659831808</v>
      </c>
      <c r="P37">
        <v>62.7</v>
      </c>
    </row>
    <row r="38" spans="1:16" x14ac:dyDescent="0.25">
      <c r="A38">
        <v>2016</v>
      </c>
      <c r="B38">
        <v>4.3</v>
      </c>
      <c r="C38">
        <v>5.7</v>
      </c>
      <c r="D38">
        <v>7.8</v>
      </c>
      <c r="E38">
        <v>-1.59</v>
      </c>
      <c r="F38">
        <v>1.66</v>
      </c>
      <c r="G38">
        <v>-2.0299999999999998</v>
      </c>
      <c r="H38">
        <v>2</v>
      </c>
      <c r="I38">
        <v>3.4</v>
      </c>
      <c r="J38">
        <v>5.3</v>
      </c>
      <c r="P38">
        <v>58.4</v>
      </c>
    </row>
    <row r="39" spans="1:16" x14ac:dyDescent="0.25">
      <c r="A39">
        <v>2017</v>
      </c>
      <c r="B39">
        <v>7.4</v>
      </c>
      <c r="C39">
        <v>8.3000000000000007</v>
      </c>
      <c r="D39">
        <v>-2</v>
      </c>
      <c r="E39">
        <v>-0.17</v>
      </c>
      <c r="F39">
        <v>-1.1399999999999999</v>
      </c>
      <c r="G39">
        <v>-0.85</v>
      </c>
      <c r="H39">
        <v>1.7</v>
      </c>
      <c r="I39">
        <v>0.9</v>
      </c>
      <c r="J39">
        <v>0.5</v>
      </c>
      <c r="P39">
        <v>56.6</v>
      </c>
    </row>
    <row r="40" spans="1:16" x14ac:dyDescent="0.25">
      <c r="A40">
        <v>2018</v>
      </c>
      <c r="B40">
        <v>-0.1</v>
      </c>
      <c r="C40">
        <v>9.3000000000000007</v>
      </c>
      <c r="D40">
        <v>0.7</v>
      </c>
      <c r="E40">
        <v>0.13</v>
      </c>
      <c r="F40">
        <v>2</v>
      </c>
      <c r="G40">
        <v>-0.76</v>
      </c>
      <c r="H40">
        <v>0.8</v>
      </c>
      <c r="I40">
        <v>3.4</v>
      </c>
      <c r="J40">
        <v>2</v>
      </c>
      <c r="P40">
        <v>61.9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Y40"/>
  <sheetViews>
    <sheetView topLeftCell="BR1" workbookViewId="0">
      <selection activeCell="CJ2" sqref="CJ2"/>
    </sheetView>
  </sheetViews>
  <sheetFormatPr defaultRowHeight="15" x14ac:dyDescent="0.25"/>
  <cols>
    <col min="26" max="26" width="12.42578125" bestFit="1" customWidth="1"/>
    <col min="27" max="27" width="12.140625" bestFit="1" customWidth="1"/>
    <col min="28" max="28" width="13.28515625" bestFit="1" customWidth="1"/>
  </cols>
  <sheetData>
    <row r="1" spans="1:129" x14ac:dyDescent="0.25">
      <c r="B1" t="s">
        <v>0</v>
      </c>
      <c r="C1" t="s">
        <v>1</v>
      </c>
      <c r="D1" t="s">
        <v>2</v>
      </c>
      <c r="E1" t="s">
        <v>20</v>
      </c>
      <c r="F1" t="s">
        <v>19</v>
      </c>
      <c r="G1" t="s">
        <v>6</v>
      </c>
      <c r="H1" t="s">
        <v>7</v>
      </c>
      <c r="I1" t="s">
        <v>8</v>
      </c>
      <c r="J1" t="s">
        <v>21</v>
      </c>
      <c r="K1" t="s">
        <v>22</v>
      </c>
      <c r="L1" t="s">
        <v>23</v>
      </c>
      <c r="M1" t="s">
        <v>11</v>
      </c>
      <c r="N1" t="s">
        <v>3</v>
      </c>
      <c r="O1" t="s">
        <v>4</v>
      </c>
      <c r="P1" t="s">
        <v>5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43</v>
      </c>
      <c r="AI1" t="s">
        <v>42</v>
      </c>
      <c r="AJ1" t="s">
        <v>41</v>
      </c>
      <c r="AK1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</row>
    <row r="2" spans="1:129" x14ac:dyDescent="0.25">
      <c r="A2">
        <v>1980</v>
      </c>
      <c r="B2">
        <v>27.5</v>
      </c>
      <c r="C2">
        <v>24</v>
      </c>
      <c r="D2">
        <v>34.6</v>
      </c>
      <c r="E2">
        <v>47.8</v>
      </c>
      <c r="F2">
        <v>59</v>
      </c>
      <c r="G2">
        <v>63.4</v>
      </c>
      <c r="H2">
        <v>72</v>
      </c>
      <c r="I2">
        <v>71.599999999999994</v>
      </c>
      <c r="J2">
        <v>63.4</v>
      </c>
      <c r="K2">
        <v>48.8</v>
      </c>
      <c r="L2">
        <v>37.799999999999997</v>
      </c>
      <c r="M2">
        <v>25.3</v>
      </c>
      <c r="N2">
        <v>1.36</v>
      </c>
      <c r="O2">
        <v>0.92</v>
      </c>
      <c r="P2">
        <v>8.58</v>
      </c>
      <c r="Q2">
        <v>6.39</v>
      </c>
      <c r="R2">
        <v>2.0699999999999998</v>
      </c>
      <c r="S2">
        <v>3.48</v>
      </c>
      <c r="T2">
        <v>4.75</v>
      </c>
      <c r="U2">
        <v>2.1</v>
      </c>
      <c r="V2">
        <v>1.72</v>
      </c>
      <c r="W2">
        <v>3.76</v>
      </c>
      <c r="X2">
        <v>4.28</v>
      </c>
      <c r="Y2">
        <v>0.92</v>
      </c>
      <c r="Z2">
        <v>1136</v>
      </c>
      <c r="AA2">
        <v>1122</v>
      </c>
      <c r="AB2">
        <v>920</v>
      </c>
      <c r="AC2">
        <v>507</v>
      </c>
      <c r="AD2">
        <v>192</v>
      </c>
      <c r="AE2">
        <v>72</v>
      </c>
      <c r="AF2">
        <v>0</v>
      </c>
      <c r="AG2">
        <v>3</v>
      </c>
      <c r="AH2">
        <v>76</v>
      </c>
      <c r="AI2">
        <v>481</v>
      </c>
      <c r="AJ2">
        <v>789</v>
      </c>
      <c r="AK2">
        <v>1201</v>
      </c>
      <c r="AL2">
        <v>15</v>
      </c>
      <c r="AM2">
        <v>39</v>
      </c>
      <c r="AN2">
        <v>237</v>
      </c>
      <c r="AO2">
        <v>228</v>
      </c>
      <c r="AP2">
        <v>47</v>
      </c>
      <c r="AQ2">
        <v>0</v>
      </c>
      <c r="AS2">
        <f>24.622</f>
        <v>24.622</v>
      </c>
      <c r="AT2">
        <f>28.756</f>
        <v>28.756</v>
      </c>
      <c r="AU2">
        <v>36.265999999999998</v>
      </c>
      <c r="AV2">
        <v>46.942999999999998</v>
      </c>
      <c r="AW2">
        <v>56.970999999999997</v>
      </c>
      <c r="AX2">
        <v>65.519000000000005</v>
      </c>
      <c r="AY2">
        <v>70.762</v>
      </c>
      <c r="AZ2">
        <v>69.141999999999996</v>
      </c>
      <c r="BA2">
        <v>60.588999999999999</v>
      </c>
      <c r="BB2">
        <v>49.48</v>
      </c>
      <c r="BC2">
        <v>40.716999999999999</v>
      </c>
      <c r="BD2">
        <v>29.640999999999998</v>
      </c>
      <c r="BE2">
        <v>3.5121000000000002</v>
      </c>
      <c r="BF2">
        <v>3.0924999999999998</v>
      </c>
      <c r="BG2">
        <v>4.6013999999999999</v>
      </c>
      <c r="BH2">
        <v>4.9301000000000004</v>
      </c>
      <c r="BI2">
        <v>4.4535999999999998</v>
      </c>
      <c r="BJ2">
        <v>4.1021000000000001</v>
      </c>
      <c r="BK2">
        <v>4.1477000000000004</v>
      </c>
      <c r="BL2">
        <v>3.9298999999999999</v>
      </c>
      <c r="BM2">
        <v>3.5988000000000002</v>
      </c>
      <c r="BN2">
        <v>4.0045999999999999</v>
      </c>
      <c r="BO2">
        <v>5.3457999999999997</v>
      </c>
      <c r="BP2">
        <v>3.3748999999999998</v>
      </c>
      <c r="BQ2">
        <v>1224</v>
      </c>
      <c r="BR2">
        <v>993.06</v>
      </c>
      <c r="BS2">
        <v>871.26</v>
      </c>
      <c r="BT2">
        <v>530.66</v>
      </c>
      <c r="BU2">
        <v>247.91</v>
      </c>
      <c r="BV2">
        <v>44.701999999999998</v>
      </c>
      <c r="BW2">
        <v>2.9946000000000002</v>
      </c>
      <c r="BX2">
        <v>13.667999999999999</v>
      </c>
      <c r="BY2">
        <v>117.4</v>
      </c>
      <c r="BZ2">
        <v>417.43</v>
      </c>
      <c r="CA2">
        <v>706.42</v>
      </c>
      <c r="CB2">
        <v>1069.9000000000001</v>
      </c>
      <c r="CC2">
        <v>6.9932999999999996</v>
      </c>
      <c r="CD2">
        <v>73.150999999999996</v>
      </c>
      <c r="CE2">
        <v>198.38</v>
      </c>
      <c r="CF2">
        <v>154.02000000000001</v>
      </c>
      <c r="CG2">
        <v>14.566000000000001</v>
      </c>
      <c r="CH2">
        <v>-0.52200000000000002</v>
      </c>
      <c r="CJ2">
        <f>B2-AS2</f>
        <v>2.8780000000000001</v>
      </c>
      <c r="CK2">
        <f t="shared" ref="CK2:DY6" si="0">C2-AT2</f>
        <v>-4.7560000000000002</v>
      </c>
      <c r="CL2">
        <f t="shared" si="0"/>
        <v>-1.6659999999999968</v>
      </c>
      <c r="CM2">
        <f t="shared" si="0"/>
        <v>0.85699999999999932</v>
      </c>
      <c r="CN2">
        <f t="shared" si="0"/>
        <v>2.0290000000000035</v>
      </c>
      <c r="CO2">
        <f t="shared" si="0"/>
        <v>-2.1190000000000069</v>
      </c>
      <c r="CP2">
        <f t="shared" si="0"/>
        <v>1.2379999999999995</v>
      </c>
      <c r="CQ2">
        <f t="shared" si="0"/>
        <v>2.4579999999999984</v>
      </c>
      <c r="CR2">
        <f t="shared" si="0"/>
        <v>2.8109999999999999</v>
      </c>
      <c r="CS2">
        <f t="shared" si="0"/>
        <v>-0.67999999999999972</v>
      </c>
      <c r="CT2">
        <f t="shared" si="0"/>
        <v>-2.9170000000000016</v>
      </c>
      <c r="CU2">
        <f t="shared" si="0"/>
        <v>-4.3409999999999975</v>
      </c>
      <c r="CV2">
        <f t="shared" si="0"/>
        <v>-2.1520999999999999</v>
      </c>
      <c r="CW2">
        <f t="shared" si="0"/>
        <v>-2.1724999999999999</v>
      </c>
      <c r="CX2">
        <f t="shared" si="0"/>
        <v>3.9786000000000001</v>
      </c>
      <c r="CY2">
        <f t="shared" si="0"/>
        <v>1.4598999999999993</v>
      </c>
      <c r="CZ2">
        <f t="shared" si="0"/>
        <v>-2.3835999999999999</v>
      </c>
      <c r="DA2">
        <f t="shared" si="0"/>
        <v>-0.6221000000000001</v>
      </c>
      <c r="DB2">
        <f t="shared" si="0"/>
        <v>0.60229999999999961</v>
      </c>
      <c r="DC2">
        <f t="shared" si="0"/>
        <v>-1.8298999999999999</v>
      </c>
      <c r="DD2">
        <f t="shared" si="0"/>
        <v>-1.8788000000000002</v>
      </c>
      <c r="DE2">
        <f t="shared" si="0"/>
        <v>-0.24460000000000015</v>
      </c>
      <c r="DF2">
        <f t="shared" si="0"/>
        <v>-1.0657999999999994</v>
      </c>
      <c r="DG2">
        <f t="shared" si="0"/>
        <v>-2.4548999999999999</v>
      </c>
      <c r="DH2">
        <f t="shared" si="0"/>
        <v>-88</v>
      </c>
      <c r="DI2">
        <f t="shared" si="0"/>
        <v>128.94000000000005</v>
      </c>
      <c r="DJ2">
        <f t="shared" si="0"/>
        <v>48.740000000000009</v>
      </c>
      <c r="DK2">
        <f t="shared" si="0"/>
        <v>-23.659999999999968</v>
      </c>
      <c r="DL2">
        <f t="shared" si="0"/>
        <v>-55.91</v>
      </c>
      <c r="DM2">
        <f t="shared" si="0"/>
        <v>27.298000000000002</v>
      </c>
      <c r="DN2">
        <f t="shared" si="0"/>
        <v>-2.9946000000000002</v>
      </c>
      <c r="DO2">
        <f t="shared" si="0"/>
        <v>-10.667999999999999</v>
      </c>
      <c r="DP2">
        <f t="shared" si="0"/>
        <v>-41.400000000000006</v>
      </c>
      <c r="DQ2">
        <f t="shared" si="0"/>
        <v>63.569999999999993</v>
      </c>
      <c r="DR2">
        <f t="shared" si="0"/>
        <v>82.580000000000041</v>
      </c>
      <c r="DS2">
        <f t="shared" si="0"/>
        <v>131.09999999999991</v>
      </c>
      <c r="DT2">
        <f t="shared" si="0"/>
        <v>8.0067000000000004</v>
      </c>
      <c r="DU2">
        <f t="shared" si="0"/>
        <v>-34.150999999999996</v>
      </c>
      <c r="DV2">
        <f t="shared" si="0"/>
        <v>38.620000000000005</v>
      </c>
      <c r="DW2">
        <f t="shared" si="0"/>
        <v>73.97999999999999</v>
      </c>
      <c r="DX2">
        <f t="shared" si="0"/>
        <v>32.433999999999997</v>
      </c>
      <c r="DY2">
        <f t="shared" si="0"/>
        <v>0.52200000000000002</v>
      </c>
    </row>
    <row r="3" spans="1:129" x14ac:dyDescent="0.25">
      <c r="A3">
        <v>1981</v>
      </c>
      <c r="B3">
        <v>17.7</v>
      </c>
      <c r="C3">
        <v>33.5</v>
      </c>
      <c r="D3">
        <v>36</v>
      </c>
      <c r="E3">
        <v>49.2</v>
      </c>
      <c r="F3">
        <v>58.2</v>
      </c>
      <c r="G3">
        <v>66.7</v>
      </c>
      <c r="H3">
        <v>72.2</v>
      </c>
      <c r="I3">
        <v>68.8</v>
      </c>
      <c r="J3">
        <v>60.6</v>
      </c>
      <c r="K3">
        <v>47.8</v>
      </c>
      <c r="L3">
        <v>41</v>
      </c>
      <c r="M3">
        <v>29.2</v>
      </c>
      <c r="N3">
        <v>0.68</v>
      </c>
      <c r="O3">
        <v>7.84</v>
      </c>
      <c r="P3">
        <v>0.68</v>
      </c>
      <c r="Q3">
        <v>3.75</v>
      </c>
      <c r="R3">
        <v>3.37</v>
      </c>
      <c r="S3">
        <v>3.23</v>
      </c>
      <c r="T3">
        <v>4.1399999999999997</v>
      </c>
      <c r="U3">
        <v>1.0900000000000001</v>
      </c>
      <c r="V3">
        <v>4.0199999999999996</v>
      </c>
      <c r="W3">
        <v>5.59</v>
      </c>
      <c r="X3">
        <v>2.29</v>
      </c>
      <c r="Y3">
        <v>5.25</v>
      </c>
      <c r="Z3">
        <v>1437</v>
      </c>
      <c r="AA3">
        <v>866</v>
      </c>
      <c r="AB3">
        <v>883</v>
      </c>
      <c r="AC3">
        <v>466</v>
      </c>
      <c r="AD3">
        <v>213</v>
      </c>
      <c r="AE3">
        <v>27</v>
      </c>
      <c r="AF3">
        <v>0</v>
      </c>
      <c r="AG3">
        <v>13</v>
      </c>
      <c r="AH3">
        <v>133</v>
      </c>
      <c r="AI3">
        <v>516</v>
      </c>
      <c r="AJ3">
        <v>700</v>
      </c>
      <c r="AK3">
        <v>1083</v>
      </c>
      <c r="AL3">
        <v>12</v>
      </c>
      <c r="AM3">
        <v>88</v>
      </c>
      <c r="AN3">
        <v>237</v>
      </c>
      <c r="AO3">
        <v>147</v>
      </c>
      <c r="AP3">
        <v>17</v>
      </c>
      <c r="AQ3">
        <v>0</v>
      </c>
      <c r="AS3">
        <f>AS2+0.0908</f>
        <v>24.712800000000001</v>
      </c>
      <c r="AT3">
        <f>AT2+0.0177</f>
        <v>28.773700000000002</v>
      </c>
      <c r="AU3">
        <f>AU2+0.0202</f>
        <v>36.286200000000001</v>
      </c>
      <c r="AV3">
        <f>AV2+0.0305</f>
        <v>46.973500000000001</v>
      </c>
      <c r="AW3">
        <f>AW2+0.0484</f>
        <v>57.019399999999997</v>
      </c>
      <c r="AX3">
        <f>AX2+0.0448</f>
        <v>65.563800000000001</v>
      </c>
      <c r="AY3">
        <f>AY2+0.0583</f>
        <v>70.820300000000003</v>
      </c>
      <c r="AZ3">
        <f>AZ2+0.0493</f>
        <v>69.191299999999998</v>
      </c>
      <c r="BA3">
        <f>BA2+0.115</f>
        <v>60.704000000000001</v>
      </c>
      <c r="BB3">
        <f>BB2+0.1091</f>
        <v>49.589099999999995</v>
      </c>
      <c r="BC3">
        <f>BC2+0.0529</f>
        <v>40.7699</v>
      </c>
      <c r="BD3">
        <f>BD2+0.1144</f>
        <v>29.755399999999998</v>
      </c>
      <c r="BE3">
        <f>BE2+0.0034</f>
        <v>3.5155000000000003</v>
      </c>
      <c r="BF3">
        <f>BF2+0.0031</f>
        <v>3.0955999999999997</v>
      </c>
      <c r="BG3">
        <f>BG2+0.0224</f>
        <v>4.6238000000000001</v>
      </c>
      <c r="BH3">
        <f>BH2+0.0323</f>
        <v>4.9624000000000006</v>
      </c>
      <c r="BI3">
        <f>BI2+0.0201</f>
        <v>4.4737</v>
      </c>
      <c r="BJ3">
        <f>BJ2+0.0177</f>
        <v>4.1197999999999997</v>
      </c>
      <c r="BK3">
        <f>BK2+0.000002</f>
        <v>4.1477020000000007</v>
      </c>
      <c r="BL3">
        <f>BL2+0.0105</f>
        <v>3.9403999999999999</v>
      </c>
      <c r="BM3">
        <f>BM2+0.021</f>
        <v>3.6198000000000001</v>
      </c>
      <c r="BN3">
        <f>BN2+0.031</f>
        <v>4.0355999999999996</v>
      </c>
      <c r="BO3">
        <f>BO2-0.0656</f>
        <v>5.2801999999999998</v>
      </c>
      <c r="BP3">
        <f>BP2+0.0281</f>
        <v>3.4029999999999996</v>
      </c>
      <c r="BQ3">
        <f t="shared" ref="BQ3" si="1">BQ2+0.0305</f>
        <v>1224.0305000000001</v>
      </c>
      <c r="BR3">
        <f>BR2-2.7733</f>
        <v>990.2867</v>
      </c>
      <c r="BS3">
        <f>BS2-0.4583</f>
        <v>870.80169999999998</v>
      </c>
      <c r="BT3">
        <f>BT2-0.5923</f>
        <v>530.06769999999995</v>
      </c>
      <c r="BU3">
        <f>BU2-0.97</f>
        <v>246.94</v>
      </c>
      <c r="BV3">
        <f>BV2-0.5723</f>
        <v>44.1297</v>
      </c>
      <c r="BW3">
        <f>BW2-0.0395</f>
        <v>2.9551000000000003</v>
      </c>
      <c r="BX3">
        <f>BX2-0.2565</f>
        <v>13.411499999999998</v>
      </c>
      <c r="BY3">
        <f>BY2-1.4508</f>
        <v>115.9492</v>
      </c>
      <c r="BZ3">
        <f>BZ2-1.5358</f>
        <v>415.89420000000001</v>
      </c>
      <c r="CA3">
        <f>CA2-1.5089</f>
        <v>704.91109999999992</v>
      </c>
      <c r="CB3">
        <f>CB2-3.5223</f>
        <v>1066.3777</v>
      </c>
      <c r="CC3">
        <f>CC2+0.2901</f>
        <v>7.2833999999999994</v>
      </c>
      <c r="CD3">
        <f>CD2+0.7399</f>
        <v>73.890900000000002</v>
      </c>
      <c r="CE3">
        <f>CE2+1.7399</f>
        <v>200.1199</v>
      </c>
      <c r="CF3">
        <f>CF2+1.699</f>
        <v>155.71900000000002</v>
      </c>
      <c r="CG3">
        <f>CG2+1.4541</f>
        <v>16.020099999999999</v>
      </c>
      <c r="CH3">
        <f>CH2+0.0888</f>
        <v>-0.43320000000000003</v>
      </c>
      <c r="CJ3">
        <f t="shared" ref="CJ3:CJ40" si="2">B3-AS3</f>
        <v>-7.0128000000000021</v>
      </c>
      <c r="CK3">
        <f t="shared" si="0"/>
        <v>4.7262999999999984</v>
      </c>
      <c r="CL3">
        <f t="shared" si="0"/>
        <v>-0.2862000000000009</v>
      </c>
      <c r="CM3">
        <f t="shared" si="0"/>
        <v>2.2265000000000015</v>
      </c>
      <c r="CN3">
        <f t="shared" si="0"/>
        <v>1.1806000000000054</v>
      </c>
      <c r="CO3">
        <f t="shared" si="0"/>
        <v>1.1362000000000023</v>
      </c>
      <c r="CP3">
        <f t="shared" si="0"/>
        <v>1.3796999999999997</v>
      </c>
      <c r="CQ3">
        <f t="shared" si="0"/>
        <v>-0.39130000000000109</v>
      </c>
      <c r="CR3">
        <f t="shared" si="0"/>
        <v>-0.1039999999999992</v>
      </c>
      <c r="CS3">
        <f t="shared" si="0"/>
        <v>-1.7890999999999977</v>
      </c>
      <c r="CT3">
        <f t="shared" si="0"/>
        <v>0.23010000000000019</v>
      </c>
      <c r="CU3">
        <f t="shared" si="0"/>
        <v>-0.55539999999999878</v>
      </c>
      <c r="CV3">
        <f t="shared" si="0"/>
        <v>-2.8355000000000001</v>
      </c>
      <c r="CW3">
        <f t="shared" si="0"/>
        <v>4.7444000000000006</v>
      </c>
      <c r="CX3">
        <f t="shared" si="0"/>
        <v>-3.9438</v>
      </c>
      <c r="CY3">
        <f t="shared" si="0"/>
        <v>-1.2124000000000006</v>
      </c>
      <c r="CZ3">
        <f t="shared" si="0"/>
        <v>-1.1036999999999999</v>
      </c>
      <c r="DA3">
        <f t="shared" si="0"/>
        <v>-0.8897999999999997</v>
      </c>
      <c r="DB3">
        <f t="shared" si="0"/>
        <v>-7.7020000000009858E-3</v>
      </c>
      <c r="DC3">
        <f t="shared" si="0"/>
        <v>-2.8503999999999996</v>
      </c>
      <c r="DD3">
        <f t="shared" si="0"/>
        <v>0.40019999999999945</v>
      </c>
      <c r="DE3">
        <f t="shared" si="0"/>
        <v>1.5544000000000002</v>
      </c>
      <c r="DF3">
        <f t="shared" si="0"/>
        <v>-2.9901999999999997</v>
      </c>
      <c r="DG3">
        <f t="shared" si="0"/>
        <v>1.8470000000000004</v>
      </c>
      <c r="DH3">
        <f t="shared" si="0"/>
        <v>212.96949999999993</v>
      </c>
      <c r="DI3">
        <f t="shared" si="0"/>
        <v>-124.2867</v>
      </c>
      <c r="DJ3">
        <f t="shared" si="0"/>
        <v>12.198300000000017</v>
      </c>
      <c r="DK3">
        <f t="shared" si="0"/>
        <v>-64.067699999999945</v>
      </c>
      <c r="DL3">
        <f t="shared" si="0"/>
        <v>-33.94</v>
      </c>
      <c r="DM3">
        <f t="shared" si="0"/>
        <v>-17.1297</v>
      </c>
      <c r="DN3">
        <f t="shared" si="0"/>
        <v>-2.9551000000000003</v>
      </c>
      <c r="DO3">
        <f t="shared" si="0"/>
        <v>-0.41149999999999842</v>
      </c>
      <c r="DP3">
        <f t="shared" si="0"/>
        <v>17.050799999999995</v>
      </c>
      <c r="DQ3">
        <f t="shared" si="0"/>
        <v>100.10579999999999</v>
      </c>
      <c r="DR3">
        <f t="shared" si="0"/>
        <v>-4.9110999999999194</v>
      </c>
      <c r="DS3">
        <f t="shared" si="0"/>
        <v>16.622299999999996</v>
      </c>
      <c r="DT3">
        <f t="shared" si="0"/>
        <v>4.7166000000000006</v>
      </c>
      <c r="DU3">
        <f t="shared" si="0"/>
        <v>14.109099999999998</v>
      </c>
      <c r="DV3">
        <f t="shared" si="0"/>
        <v>36.880099999999999</v>
      </c>
      <c r="DW3">
        <f t="shared" si="0"/>
        <v>-8.7190000000000225</v>
      </c>
      <c r="DX3">
        <f t="shared" si="0"/>
        <v>0.97990000000000066</v>
      </c>
      <c r="DY3">
        <f t="shared" si="0"/>
        <v>0.43320000000000003</v>
      </c>
    </row>
    <row r="4" spans="1:129" x14ac:dyDescent="0.25">
      <c r="A4">
        <v>1982</v>
      </c>
      <c r="B4">
        <v>17.8</v>
      </c>
      <c r="C4">
        <v>28</v>
      </c>
      <c r="D4">
        <v>34.799999999999997</v>
      </c>
      <c r="E4">
        <v>44.1</v>
      </c>
      <c r="F4">
        <v>58.8</v>
      </c>
      <c r="G4">
        <v>62.6</v>
      </c>
      <c r="H4">
        <v>71</v>
      </c>
      <c r="I4">
        <v>66.599999999999994</v>
      </c>
      <c r="J4">
        <v>61.7</v>
      </c>
      <c r="K4">
        <v>50.1</v>
      </c>
      <c r="L4">
        <v>44.2</v>
      </c>
      <c r="M4">
        <v>35.6</v>
      </c>
      <c r="N4">
        <v>5.15</v>
      </c>
      <c r="O4">
        <v>3.35</v>
      </c>
      <c r="P4">
        <v>2.66</v>
      </c>
      <c r="Q4">
        <v>5.0999999999999996</v>
      </c>
      <c r="R4">
        <v>2.83</v>
      </c>
      <c r="S4">
        <v>12.09</v>
      </c>
      <c r="T4">
        <v>2.76</v>
      </c>
      <c r="U4">
        <v>3.13</v>
      </c>
      <c r="V4">
        <v>2.64</v>
      </c>
      <c r="W4">
        <v>2.38</v>
      </c>
      <c r="X4">
        <v>3.85</v>
      </c>
      <c r="Y4">
        <v>1.75</v>
      </c>
      <c r="Z4">
        <v>1432</v>
      </c>
      <c r="AA4">
        <v>1010</v>
      </c>
      <c r="AB4">
        <v>915</v>
      </c>
      <c r="AC4">
        <v>614</v>
      </c>
      <c r="AD4">
        <v>199</v>
      </c>
      <c r="AE4">
        <v>89</v>
      </c>
      <c r="AF4">
        <v>1</v>
      </c>
      <c r="AG4">
        <v>30</v>
      </c>
      <c r="AH4">
        <v>110</v>
      </c>
      <c r="AI4">
        <v>443</v>
      </c>
      <c r="AJ4">
        <v>604</v>
      </c>
      <c r="AK4">
        <v>890</v>
      </c>
      <c r="AL4">
        <v>13</v>
      </c>
      <c r="AM4">
        <v>27</v>
      </c>
      <c r="AN4">
        <v>207</v>
      </c>
      <c r="AO4">
        <v>99</v>
      </c>
      <c r="AP4">
        <v>24</v>
      </c>
      <c r="AQ4">
        <v>0</v>
      </c>
      <c r="AS4">
        <f t="shared" ref="AS4:AS40" si="3">AS3+0.0908</f>
        <v>24.803600000000003</v>
      </c>
      <c r="AT4">
        <f t="shared" ref="AT4:AT40" si="4">AT3+0.0177</f>
        <v>28.791400000000003</v>
      </c>
      <c r="AU4">
        <f t="shared" ref="AU4:AU40" si="5">AU3+0.0202</f>
        <v>36.306400000000004</v>
      </c>
      <c r="AV4">
        <f t="shared" ref="AV4:AV40" si="6">AV3+0.0305</f>
        <v>47.004000000000005</v>
      </c>
      <c r="AW4">
        <f t="shared" ref="AW4:AW40" si="7">AW3+0.0484</f>
        <v>57.067799999999998</v>
      </c>
      <c r="AX4">
        <f t="shared" ref="AX4:AX40" si="8">AX3+0.0448</f>
        <v>65.608599999999996</v>
      </c>
      <c r="AY4">
        <f t="shared" ref="AY4:AY40" si="9">AY3+0.0583</f>
        <v>70.878600000000006</v>
      </c>
      <c r="AZ4">
        <f t="shared" ref="AZ4:AZ40" si="10">AZ3+0.0493</f>
        <v>69.240600000000001</v>
      </c>
      <c r="BA4">
        <f t="shared" ref="BA4:BA40" si="11">BA3+0.115</f>
        <v>60.819000000000003</v>
      </c>
      <c r="BB4">
        <f t="shared" ref="BB4:BB40" si="12">BB3+0.1091</f>
        <v>49.698199999999993</v>
      </c>
      <c r="BC4">
        <f t="shared" ref="BC4:BC40" si="13">BC3+0.0529</f>
        <v>40.822800000000001</v>
      </c>
      <c r="BD4">
        <f t="shared" ref="BD4:BD40" si="14">BD3+0.1144</f>
        <v>29.869799999999998</v>
      </c>
      <c r="BE4">
        <f t="shared" ref="BE4:BE40" si="15">BE3+0.0034</f>
        <v>3.5189000000000004</v>
      </c>
      <c r="BF4">
        <f t="shared" ref="BF4:BF40" si="16">BF3+0.0031</f>
        <v>3.0986999999999996</v>
      </c>
      <c r="BG4">
        <f t="shared" ref="BG4:BG40" si="17">BG3+0.0224</f>
        <v>4.6462000000000003</v>
      </c>
      <c r="BH4">
        <f t="shared" ref="BH4:BH40" si="18">BH3+0.0323</f>
        <v>4.9947000000000008</v>
      </c>
      <c r="BI4">
        <f t="shared" ref="BI4:BI40" si="19">BI3+0.0201</f>
        <v>4.4938000000000002</v>
      </c>
      <c r="BJ4">
        <f t="shared" ref="BJ4:BJ40" si="20">BJ3+0.0177</f>
        <v>4.1374999999999993</v>
      </c>
      <c r="BK4">
        <f t="shared" ref="BK4:BK40" si="21">BK3+0.000002</f>
        <v>4.1477040000000009</v>
      </c>
      <c r="BL4">
        <f t="shared" ref="BL4:BL40" si="22">BL3+0.0105</f>
        <v>3.9508999999999999</v>
      </c>
      <c r="BM4">
        <f t="shared" ref="BM4:BM40" si="23">BM3+0.021</f>
        <v>3.6408</v>
      </c>
      <c r="BN4">
        <f t="shared" ref="BN4:BN40" si="24">BN3+0.031</f>
        <v>4.0665999999999993</v>
      </c>
      <c r="BO4">
        <f t="shared" ref="BO4:BO40" si="25">BO3-0.0656</f>
        <v>5.2145999999999999</v>
      </c>
      <c r="BP4">
        <f t="shared" ref="BP4:BP40" si="26">BP3+0.0281</f>
        <v>3.4310999999999994</v>
      </c>
      <c r="BQ4">
        <f t="shared" ref="BQ4:BQ40" si="27">BQ3+0.0305</f>
        <v>1224.0610000000001</v>
      </c>
      <c r="BR4">
        <f t="shared" ref="BR4:BR40" si="28">BR3-2.7733</f>
        <v>987.51340000000005</v>
      </c>
      <c r="BS4">
        <f t="shared" ref="BS4:BS40" si="29">BS3-0.4583</f>
        <v>870.34339999999997</v>
      </c>
      <c r="BT4">
        <f t="shared" ref="BT4:BT40" si="30">BT3-0.5923</f>
        <v>529.47539999999992</v>
      </c>
      <c r="BU4">
        <f t="shared" ref="BU4:BU40" si="31">BU3-0.97</f>
        <v>245.97</v>
      </c>
      <c r="BV4">
        <f t="shared" ref="BV4:BV40" si="32">BV3-0.5723</f>
        <v>43.557400000000001</v>
      </c>
      <c r="BW4">
        <f t="shared" ref="BW4:BW40" si="33">BW3-0.0395</f>
        <v>2.9156000000000004</v>
      </c>
      <c r="BX4">
        <f t="shared" ref="BX4:BX40" si="34">BX3-0.2565</f>
        <v>13.154999999999998</v>
      </c>
      <c r="BY4">
        <f t="shared" ref="BY4:BY40" si="35">BY3-1.4508</f>
        <v>114.4984</v>
      </c>
      <c r="BZ4">
        <f t="shared" ref="BZ4:BZ40" si="36">BZ3-1.5358</f>
        <v>414.35840000000002</v>
      </c>
      <c r="CA4">
        <f t="shared" ref="CA4:CA40" si="37">CA3-1.5089</f>
        <v>703.40219999999988</v>
      </c>
      <c r="CB4">
        <f t="shared" ref="CB4:CB40" si="38">CB3-3.5223</f>
        <v>1062.8553999999999</v>
      </c>
      <c r="CC4">
        <f t="shared" ref="CC4:CC40" si="39">CC3+0.2901</f>
        <v>7.5734999999999992</v>
      </c>
      <c r="CD4">
        <f t="shared" ref="CD4:CD40" si="40">CD3+0.7399</f>
        <v>74.630800000000008</v>
      </c>
      <c r="CE4">
        <f t="shared" ref="CE4:CE40" si="41">CE3+1.7399</f>
        <v>201.85980000000001</v>
      </c>
      <c r="CF4">
        <f t="shared" ref="CF4:CF40" si="42">CF3+1.699</f>
        <v>157.41800000000003</v>
      </c>
      <c r="CG4">
        <f t="shared" ref="CG4:CG40" si="43">CG3+1.4541</f>
        <v>17.4742</v>
      </c>
      <c r="CH4">
        <f t="shared" ref="CH4:CH40" si="44">CH3+0.0888</f>
        <v>-0.34440000000000004</v>
      </c>
      <c r="CJ4">
        <f t="shared" si="2"/>
        <v>-7.0036000000000023</v>
      </c>
      <c r="CK4">
        <f t="shared" si="0"/>
        <v>-0.79140000000000299</v>
      </c>
      <c r="CL4">
        <f t="shared" si="0"/>
        <v>-1.5064000000000064</v>
      </c>
      <c r="CM4">
        <f t="shared" si="0"/>
        <v>-2.9040000000000035</v>
      </c>
      <c r="CN4">
        <f t="shared" si="0"/>
        <v>1.7321999999999989</v>
      </c>
      <c r="CO4">
        <f t="shared" si="0"/>
        <v>-3.0085999999999942</v>
      </c>
      <c r="CP4">
        <f t="shared" si="0"/>
        <v>0.12139999999999418</v>
      </c>
      <c r="CQ4">
        <f t="shared" si="0"/>
        <v>-2.6406000000000063</v>
      </c>
      <c r="CR4">
        <f t="shared" si="0"/>
        <v>0.88100000000000023</v>
      </c>
      <c r="CS4">
        <f t="shared" si="0"/>
        <v>0.40180000000000859</v>
      </c>
      <c r="CT4">
        <f t="shared" si="0"/>
        <v>3.377200000000002</v>
      </c>
      <c r="CU4">
        <f t="shared" si="0"/>
        <v>5.7302000000000035</v>
      </c>
      <c r="CV4">
        <f t="shared" si="0"/>
        <v>1.6311</v>
      </c>
      <c r="CW4">
        <f t="shared" si="0"/>
        <v>0.25130000000000052</v>
      </c>
      <c r="CX4">
        <f t="shared" si="0"/>
        <v>-1.9862000000000002</v>
      </c>
      <c r="CY4">
        <f t="shared" si="0"/>
        <v>0.10529999999999884</v>
      </c>
      <c r="CZ4">
        <f t="shared" si="0"/>
        <v>-1.6638000000000002</v>
      </c>
      <c r="DA4">
        <f t="shared" si="0"/>
        <v>7.9525000000000006</v>
      </c>
      <c r="DB4">
        <f t="shared" si="0"/>
        <v>-1.3877040000000012</v>
      </c>
      <c r="DC4">
        <f t="shared" si="0"/>
        <v>-0.82089999999999996</v>
      </c>
      <c r="DD4">
        <f t="shared" si="0"/>
        <v>-1.0007999999999999</v>
      </c>
      <c r="DE4">
        <f t="shared" si="0"/>
        <v>-1.6865999999999994</v>
      </c>
      <c r="DF4">
        <f t="shared" si="0"/>
        <v>-1.3645999999999998</v>
      </c>
      <c r="DG4">
        <f t="shared" si="0"/>
        <v>-1.6810999999999994</v>
      </c>
      <c r="DH4">
        <f t="shared" si="0"/>
        <v>207.93899999999985</v>
      </c>
      <c r="DI4">
        <f t="shared" si="0"/>
        <v>22.486599999999953</v>
      </c>
      <c r="DJ4">
        <f t="shared" si="0"/>
        <v>44.656600000000026</v>
      </c>
      <c r="DK4">
        <f t="shared" si="0"/>
        <v>84.524600000000078</v>
      </c>
      <c r="DL4">
        <f t="shared" si="0"/>
        <v>-46.97</v>
      </c>
      <c r="DM4">
        <f t="shared" si="0"/>
        <v>45.442599999999999</v>
      </c>
      <c r="DN4">
        <f t="shared" si="0"/>
        <v>-1.9156000000000004</v>
      </c>
      <c r="DO4">
        <f t="shared" si="0"/>
        <v>16.845000000000002</v>
      </c>
      <c r="DP4">
        <f t="shared" si="0"/>
        <v>-4.4984000000000037</v>
      </c>
      <c r="DQ4">
        <f t="shared" si="0"/>
        <v>28.641599999999983</v>
      </c>
      <c r="DR4">
        <f t="shared" si="0"/>
        <v>-99.40219999999988</v>
      </c>
      <c r="DS4">
        <f t="shared" si="0"/>
        <v>-172.85539999999992</v>
      </c>
      <c r="DT4">
        <f t="shared" si="0"/>
        <v>5.4265000000000008</v>
      </c>
      <c r="DU4">
        <f t="shared" si="0"/>
        <v>-47.630800000000008</v>
      </c>
      <c r="DV4">
        <f t="shared" si="0"/>
        <v>5.140199999999993</v>
      </c>
      <c r="DW4">
        <f t="shared" si="0"/>
        <v>-58.418000000000035</v>
      </c>
      <c r="DX4">
        <f t="shared" si="0"/>
        <v>6.5258000000000003</v>
      </c>
      <c r="DY4">
        <f t="shared" si="0"/>
        <v>0.34440000000000004</v>
      </c>
    </row>
    <row r="5" spans="1:129" x14ac:dyDescent="0.25">
      <c r="A5">
        <v>1983</v>
      </c>
      <c r="B5">
        <v>27</v>
      </c>
      <c r="C5">
        <v>29.5</v>
      </c>
      <c r="D5">
        <v>38.6</v>
      </c>
      <c r="E5">
        <v>46.9</v>
      </c>
      <c r="F5">
        <v>54.9</v>
      </c>
      <c r="G5">
        <v>67.2</v>
      </c>
      <c r="H5">
        <v>72.099999999999994</v>
      </c>
      <c r="I5">
        <v>70.599999999999994</v>
      </c>
      <c r="J5">
        <v>64.400000000000006</v>
      </c>
      <c r="K5">
        <v>51.1</v>
      </c>
      <c r="L5">
        <v>42</v>
      </c>
      <c r="M5">
        <v>28.6</v>
      </c>
      <c r="N5">
        <v>4.8</v>
      </c>
      <c r="O5">
        <v>3.79</v>
      </c>
      <c r="P5">
        <v>7.7</v>
      </c>
      <c r="Q5">
        <v>11.02</v>
      </c>
      <c r="R5">
        <v>5.35</v>
      </c>
      <c r="S5">
        <v>3.11</v>
      </c>
      <c r="T5">
        <v>1.86</v>
      </c>
      <c r="U5">
        <v>3.3</v>
      </c>
      <c r="V5">
        <v>1.83</v>
      </c>
      <c r="W5">
        <v>6.35</v>
      </c>
      <c r="X5">
        <v>7.11</v>
      </c>
      <c r="Y5">
        <v>6.79</v>
      </c>
      <c r="Z5">
        <v>1150</v>
      </c>
      <c r="AA5">
        <v>973</v>
      </c>
      <c r="AB5">
        <v>799</v>
      </c>
      <c r="AC5">
        <v>531</v>
      </c>
      <c r="AD5">
        <v>309</v>
      </c>
      <c r="AE5">
        <v>22</v>
      </c>
      <c r="AF5">
        <v>0</v>
      </c>
      <c r="AG5">
        <v>5</v>
      </c>
      <c r="AH5">
        <v>58</v>
      </c>
      <c r="AI5">
        <v>411</v>
      </c>
      <c r="AJ5">
        <v>668</v>
      </c>
      <c r="AK5">
        <v>1101</v>
      </c>
      <c r="AL5">
        <v>0</v>
      </c>
      <c r="AM5">
        <v>99</v>
      </c>
      <c r="AN5">
        <v>238</v>
      </c>
      <c r="AO5">
        <v>193</v>
      </c>
      <c r="AP5">
        <v>63</v>
      </c>
      <c r="AQ5">
        <v>0</v>
      </c>
      <c r="AS5">
        <f t="shared" si="3"/>
        <v>24.894400000000005</v>
      </c>
      <c r="AT5">
        <f t="shared" si="4"/>
        <v>28.809100000000004</v>
      </c>
      <c r="AU5">
        <f t="shared" si="5"/>
        <v>36.326600000000006</v>
      </c>
      <c r="AV5">
        <f t="shared" si="6"/>
        <v>47.034500000000008</v>
      </c>
      <c r="AW5">
        <f t="shared" si="7"/>
        <v>57.116199999999999</v>
      </c>
      <c r="AX5">
        <f t="shared" si="8"/>
        <v>65.653399999999991</v>
      </c>
      <c r="AY5">
        <f t="shared" si="9"/>
        <v>70.936900000000009</v>
      </c>
      <c r="AZ5">
        <f t="shared" si="10"/>
        <v>69.289900000000003</v>
      </c>
      <c r="BA5">
        <f t="shared" si="11"/>
        <v>60.934000000000005</v>
      </c>
      <c r="BB5">
        <f t="shared" si="12"/>
        <v>49.807299999999991</v>
      </c>
      <c r="BC5">
        <f t="shared" si="13"/>
        <v>40.875700000000002</v>
      </c>
      <c r="BD5">
        <f t="shared" si="14"/>
        <v>29.984199999999998</v>
      </c>
      <c r="BE5">
        <f t="shared" si="15"/>
        <v>3.5223000000000004</v>
      </c>
      <c r="BF5">
        <f t="shared" si="16"/>
        <v>3.1017999999999994</v>
      </c>
      <c r="BG5">
        <f t="shared" si="17"/>
        <v>4.6686000000000005</v>
      </c>
      <c r="BH5">
        <f t="shared" si="18"/>
        <v>5.027000000000001</v>
      </c>
      <c r="BI5">
        <f t="shared" si="19"/>
        <v>4.5139000000000005</v>
      </c>
      <c r="BJ5">
        <f t="shared" si="20"/>
        <v>4.1551999999999989</v>
      </c>
      <c r="BK5">
        <f t="shared" si="21"/>
        <v>4.1477060000000012</v>
      </c>
      <c r="BL5">
        <f t="shared" si="22"/>
        <v>3.9613999999999998</v>
      </c>
      <c r="BM5">
        <f t="shared" si="23"/>
        <v>3.6617999999999999</v>
      </c>
      <c r="BN5">
        <f t="shared" si="24"/>
        <v>4.097599999999999</v>
      </c>
      <c r="BO5">
        <f t="shared" si="25"/>
        <v>5.149</v>
      </c>
      <c r="BP5">
        <f t="shared" si="26"/>
        <v>3.4591999999999992</v>
      </c>
      <c r="BQ5">
        <f t="shared" si="27"/>
        <v>1224.0915000000002</v>
      </c>
      <c r="BR5">
        <f t="shared" si="28"/>
        <v>984.7401000000001</v>
      </c>
      <c r="BS5">
        <f t="shared" si="29"/>
        <v>869.88509999999997</v>
      </c>
      <c r="BT5">
        <f t="shared" si="30"/>
        <v>528.8830999999999</v>
      </c>
      <c r="BU5">
        <f t="shared" si="31"/>
        <v>245</v>
      </c>
      <c r="BV5">
        <f t="shared" si="32"/>
        <v>42.985100000000003</v>
      </c>
      <c r="BW5">
        <f t="shared" si="33"/>
        <v>2.8761000000000005</v>
      </c>
      <c r="BX5">
        <f t="shared" si="34"/>
        <v>12.898499999999997</v>
      </c>
      <c r="BY5">
        <f t="shared" si="35"/>
        <v>113.0476</v>
      </c>
      <c r="BZ5">
        <f t="shared" si="36"/>
        <v>412.82260000000002</v>
      </c>
      <c r="CA5">
        <f t="shared" si="37"/>
        <v>701.89329999999984</v>
      </c>
      <c r="CB5">
        <f t="shared" si="38"/>
        <v>1059.3330999999998</v>
      </c>
      <c r="CC5">
        <f t="shared" si="39"/>
        <v>7.863599999999999</v>
      </c>
      <c r="CD5">
        <f t="shared" si="40"/>
        <v>75.370700000000014</v>
      </c>
      <c r="CE5">
        <f t="shared" si="41"/>
        <v>203.59970000000001</v>
      </c>
      <c r="CF5">
        <f t="shared" si="42"/>
        <v>159.11700000000005</v>
      </c>
      <c r="CG5">
        <f t="shared" si="43"/>
        <v>18.9283</v>
      </c>
      <c r="CH5">
        <f t="shared" si="44"/>
        <v>-0.25560000000000005</v>
      </c>
      <c r="CJ5">
        <f t="shared" si="2"/>
        <v>2.1055999999999955</v>
      </c>
      <c r="CK5">
        <f t="shared" si="0"/>
        <v>0.69089999999999563</v>
      </c>
      <c r="CL5">
        <f t="shared" si="0"/>
        <v>2.2733999999999952</v>
      </c>
      <c r="CM5">
        <f t="shared" si="0"/>
        <v>-0.13450000000000983</v>
      </c>
      <c r="CN5">
        <f t="shared" si="0"/>
        <v>-2.2162000000000006</v>
      </c>
      <c r="CO5">
        <f t="shared" si="0"/>
        <v>1.5466000000000122</v>
      </c>
      <c r="CP5">
        <f t="shared" si="0"/>
        <v>1.1630999999999858</v>
      </c>
      <c r="CQ5">
        <f t="shared" si="0"/>
        <v>1.3100999999999914</v>
      </c>
      <c r="CR5">
        <f t="shared" si="0"/>
        <v>3.4660000000000011</v>
      </c>
      <c r="CS5">
        <f t="shared" si="0"/>
        <v>1.2927000000000106</v>
      </c>
      <c r="CT5">
        <f t="shared" si="0"/>
        <v>1.1242999999999981</v>
      </c>
      <c r="CU5">
        <f t="shared" si="0"/>
        <v>-1.3841999999999963</v>
      </c>
      <c r="CV5">
        <f t="shared" si="0"/>
        <v>1.2776999999999994</v>
      </c>
      <c r="CW5">
        <f t="shared" si="0"/>
        <v>0.68820000000000059</v>
      </c>
      <c r="CX5">
        <f t="shared" si="0"/>
        <v>3.0313999999999997</v>
      </c>
      <c r="CY5">
        <f t="shared" si="0"/>
        <v>5.9929999999999986</v>
      </c>
      <c r="CZ5">
        <f t="shared" si="0"/>
        <v>0.83609999999999918</v>
      </c>
      <c r="DA5">
        <f t="shared" si="0"/>
        <v>-1.045199999999999</v>
      </c>
      <c r="DB5">
        <f t="shared" si="0"/>
        <v>-2.2877060000000009</v>
      </c>
      <c r="DC5">
        <f t="shared" si="0"/>
        <v>-0.66139999999999999</v>
      </c>
      <c r="DD5">
        <f t="shared" si="0"/>
        <v>-1.8317999999999999</v>
      </c>
      <c r="DE5">
        <f t="shared" si="0"/>
        <v>2.2524000000000006</v>
      </c>
      <c r="DF5">
        <f t="shared" si="0"/>
        <v>1.9610000000000003</v>
      </c>
      <c r="DG5">
        <f t="shared" si="0"/>
        <v>3.3308000000000009</v>
      </c>
      <c r="DH5">
        <f t="shared" si="0"/>
        <v>-74.091500000000224</v>
      </c>
      <c r="DI5">
        <f t="shared" si="0"/>
        <v>-11.740100000000098</v>
      </c>
      <c r="DJ5">
        <f t="shared" si="0"/>
        <v>-70.885099999999966</v>
      </c>
      <c r="DK5">
        <f t="shared" si="0"/>
        <v>2.1169000000001006</v>
      </c>
      <c r="DL5">
        <f t="shared" si="0"/>
        <v>64</v>
      </c>
      <c r="DM5">
        <f t="shared" si="0"/>
        <v>-20.985100000000003</v>
      </c>
      <c r="DN5">
        <f t="shared" si="0"/>
        <v>-2.8761000000000005</v>
      </c>
      <c r="DO5">
        <f t="shared" si="0"/>
        <v>-7.8984999999999967</v>
      </c>
      <c r="DP5">
        <f t="shared" si="0"/>
        <v>-55.047600000000003</v>
      </c>
      <c r="DQ5">
        <f t="shared" si="0"/>
        <v>-1.8226000000000226</v>
      </c>
      <c r="DR5">
        <f t="shared" si="0"/>
        <v>-33.89329999999984</v>
      </c>
      <c r="DS5">
        <f t="shared" si="0"/>
        <v>41.666900000000169</v>
      </c>
      <c r="DT5">
        <f t="shared" si="0"/>
        <v>-7.863599999999999</v>
      </c>
      <c r="DU5">
        <f t="shared" si="0"/>
        <v>23.629299999999986</v>
      </c>
      <c r="DV5">
        <f t="shared" si="0"/>
        <v>34.400299999999987</v>
      </c>
      <c r="DW5">
        <f t="shared" si="0"/>
        <v>33.882999999999953</v>
      </c>
      <c r="DX5">
        <f t="shared" si="0"/>
        <v>44.0717</v>
      </c>
      <c r="DY5">
        <f t="shared" si="0"/>
        <v>0.25560000000000005</v>
      </c>
    </row>
    <row r="6" spans="1:129" x14ac:dyDescent="0.25">
      <c r="A6">
        <v>1984</v>
      </c>
      <c r="B6">
        <v>22.5</v>
      </c>
      <c r="C6">
        <v>34.299999999999997</v>
      </c>
      <c r="D6">
        <v>31</v>
      </c>
      <c r="E6">
        <v>46.1</v>
      </c>
      <c r="F6">
        <v>55.3</v>
      </c>
      <c r="G6">
        <v>67.7</v>
      </c>
      <c r="H6">
        <v>69.599999999999994</v>
      </c>
      <c r="I6">
        <v>71.2</v>
      </c>
      <c r="J6">
        <v>58.8</v>
      </c>
      <c r="K6">
        <v>54.2</v>
      </c>
      <c r="L6">
        <v>41</v>
      </c>
      <c r="M6">
        <v>35.700000000000003</v>
      </c>
      <c r="N6">
        <v>2.0099999999999998</v>
      </c>
      <c r="O6">
        <v>5.31</v>
      </c>
      <c r="P6">
        <v>5.03</v>
      </c>
      <c r="Q6">
        <v>5.39</v>
      </c>
      <c r="R6">
        <v>10.23</v>
      </c>
      <c r="S6">
        <v>4</v>
      </c>
      <c r="T6">
        <v>6.64</v>
      </c>
      <c r="U6">
        <v>1.33</v>
      </c>
      <c r="V6">
        <v>1.81</v>
      </c>
      <c r="W6">
        <v>3.49</v>
      </c>
      <c r="X6">
        <v>3.26</v>
      </c>
      <c r="Y6">
        <v>2.95</v>
      </c>
      <c r="Z6">
        <v>1291</v>
      </c>
      <c r="AA6">
        <v>845</v>
      </c>
      <c r="AB6">
        <v>1032</v>
      </c>
      <c r="AC6">
        <v>555</v>
      </c>
      <c r="AD6">
        <v>295</v>
      </c>
      <c r="AE6">
        <v>18</v>
      </c>
      <c r="AF6">
        <v>6</v>
      </c>
      <c r="AG6">
        <v>4</v>
      </c>
      <c r="AH6">
        <v>175</v>
      </c>
      <c r="AI6">
        <v>321</v>
      </c>
      <c r="AJ6">
        <v>698</v>
      </c>
      <c r="AK6">
        <v>884</v>
      </c>
      <c r="AL6">
        <v>0</v>
      </c>
      <c r="AM6">
        <v>112</v>
      </c>
      <c r="AN6">
        <v>163</v>
      </c>
      <c r="AO6">
        <v>213</v>
      </c>
      <c r="AP6">
        <v>8</v>
      </c>
      <c r="AQ6">
        <v>2</v>
      </c>
      <c r="AS6">
        <f t="shared" si="3"/>
        <v>24.985200000000006</v>
      </c>
      <c r="AT6">
        <f t="shared" si="4"/>
        <v>28.826800000000006</v>
      </c>
      <c r="AU6">
        <f t="shared" si="5"/>
        <v>36.346800000000009</v>
      </c>
      <c r="AV6">
        <f t="shared" si="6"/>
        <v>47.065000000000012</v>
      </c>
      <c r="AW6">
        <f t="shared" si="7"/>
        <v>57.1646</v>
      </c>
      <c r="AX6">
        <f t="shared" si="8"/>
        <v>65.698199999999986</v>
      </c>
      <c r="AY6">
        <f t="shared" si="9"/>
        <v>70.995200000000011</v>
      </c>
      <c r="AZ6">
        <f t="shared" si="10"/>
        <v>69.339200000000005</v>
      </c>
      <c r="BA6">
        <f t="shared" si="11"/>
        <v>61.049000000000007</v>
      </c>
      <c r="BB6">
        <f t="shared" si="12"/>
        <v>49.916399999999989</v>
      </c>
      <c r="BC6">
        <f t="shared" si="13"/>
        <v>40.928600000000003</v>
      </c>
      <c r="BD6">
        <f t="shared" si="14"/>
        <v>30.098599999999998</v>
      </c>
      <c r="BE6">
        <f t="shared" si="15"/>
        <v>3.5257000000000005</v>
      </c>
      <c r="BF6">
        <f t="shared" si="16"/>
        <v>3.1048999999999993</v>
      </c>
      <c r="BG6">
        <f t="shared" si="17"/>
        <v>4.6910000000000007</v>
      </c>
      <c r="BH6">
        <f t="shared" si="18"/>
        <v>5.0593000000000012</v>
      </c>
      <c r="BI6">
        <f t="shared" si="19"/>
        <v>4.5340000000000007</v>
      </c>
      <c r="BJ6">
        <f t="shared" si="20"/>
        <v>4.1728999999999985</v>
      </c>
      <c r="BK6">
        <f t="shared" si="21"/>
        <v>4.1477080000000015</v>
      </c>
      <c r="BL6">
        <f t="shared" si="22"/>
        <v>3.9718999999999998</v>
      </c>
      <c r="BM6">
        <f t="shared" si="23"/>
        <v>3.6827999999999999</v>
      </c>
      <c r="BN6">
        <f t="shared" si="24"/>
        <v>4.1285999999999987</v>
      </c>
      <c r="BO6">
        <f t="shared" si="25"/>
        <v>5.0834000000000001</v>
      </c>
      <c r="BP6">
        <f t="shared" si="26"/>
        <v>3.487299999999999</v>
      </c>
      <c r="BQ6">
        <f t="shared" si="27"/>
        <v>1224.1220000000003</v>
      </c>
      <c r="BR6">
        <f t="shared" si="28"/>
        <v>981.96680000000015</v>
      </c>
      <c r="BS6">
        <f t="shared" si="29"/>
        <v>869.42679999999996</v>
      </c>
      <c r="BT6">
        <f t="shared" si="30"/>
        <v>528.29079999999988</v>
      </c>
      <c r="BU6">
        <f t="shared" si="31"/>
        <v>244.03</v>
      </c>
      <c r="BV6">
        <f t="shared" si="32"/>
        <v>42.412800000000004</v>
      </c>
      <c r="BW6">
        <f t="shared" si="33"/>
        <v>2.8366000000000007</v>
      </c>
      <c r="BX6">
        <f t="shared" si="34"/>
        <v>12.641999999999996</v>
      </c>
      <c r="BY6">
        <f t="shared" si="35"/>
        <v>111.5968</v>
      </c>
      <c r="BZ6">
        <f t="shared" si="36"/>
        <v>411.28680000000003</v>
      </c>
      <c r="CA6">
        <f t="shared" si="37"/>
        <v>700.3843999999998</v>
      </c>
      <c r="CB6">
        <f t="shared" si="38"/>
        <v>1055.8107999999997</v>
      </c>
      <c r="CC6">
        <f t="shared" si="39"/>
        <v>8.1536999999999988</v>
      </c>
      <c r="CD6">
        <f t="shared" si="40"/>
        <v>76.110600000000019</v>
      </c>
      <c r="CE6">
        <f t="shared" si="41"/>
        <v>205.33960000000002</v>
      </c>
      <c r="CF6">
        <f t="shared" si="42"/>
        <v>160.81600000000006</v>
      </c>
      <c r="CG6">
        <f t="shared" si="43"/>
        <v>20.382400000000001</v>
      </c>
      <c r="CH6">
        <f t="shared" si="44"/>
        <v>-0.16680000000000006</v>
      </c>
      <c r="CJ6">
        <f t="shared" si="2"/>
        <v>-2.4852000000000061</v>
      </c>
      <c r="CK6">
        <f t="shared" si="0"/>
        <v>5.4731999999999914</v>
      </c>
      <c r="CL6">
        <f t="shared" si="0"/>
        <v>-5.3468000000000089</v>
      </c>
      <c r="CM6">
        <f t="shared" si="0"/>
        <v>-0.96500000000001052</v>
      </c>
      <c r="CN6">
        <f t="shared" si="0"/>
        <v>-1.8646000000000029</v>
      </c>
      <c r="CO6">
        <f t="shared" si="0"/>
        <v>2.0018000000000171</v>
      </c>
      <c r="CP6">
        <f t="shared" si="0"/>
        <v>-1.3952000000000169</v>
      </c>
      <c r="CQ6">
        <f t="shared" si="0"/>
        <v>1.8607999999999976</v>
      </c>
      <c r="CR6">
        <f t="shared" si="0"/>
        <v>-2.2490000000000094</v>
      </c>
      <c r="CS6">
        <f t="shared" si="0"/>
        <v>4.2836000000000141</v>
      </c>
      <c r="CT6">
        <f t="shared" si="0"/>
        <v>7.1399999999997021E-2</v>
      </c>
      <c r="CU6">
        <f t="shared" si="0"/>
        <v>5.6014000000000053</v>
      </c>
      <c r="CV6">
        <f t="shared" si="0"/>
        <v>-1.5157000000000007</v>
      </c>
      <c r="CW6">
        <f t="shared" si="0"/>
        <v>2.2051000000000003</v>
      </c>
      <c r="CX6">
        <f t="shared" si="0"/>
        <v>0.33899999999999952</v>
      </c>
      <c r="CY6">
        <f t="shared" si="0"/>
        <v>0.33069999999999844</v>
      </c>
      <c r="CZ6">
        <f t="shared" si="0"/>
        <v>5.6959999999999997</v>
      </c>
      <c r="DA6">
        <f t="shared" si="0"/>
        <v>-0.1728999999999985</v>
      </c>
      <c r="DB6">
        <f t="shared" si="0"/>
        <v>2.4922919999999982</v>
      </c>
      <c r="DC6">
        <f t="shared" si="0"/>
        <v>-2.6418999999999997</v>
      </c>
      <c r="DD6">
        <f t="shared" si="0"/>
        <v>-1.8727999999999998</v>
      </c>
      <c r="DE6">
        <f t="shared" si="0"/>
        <v>-0.6385999999999985</v>
      </c>
      <c r="DF6">
        <f t="shared" si="0"/>
        <v>-1.8234000000000004</v>
      </c>
      <c r="DG6">
        <f t="shared" si="0"/>
        <v>-0.53729999999999878</v>
      </c>
      <c r="DH6">
        <f t="shared" si="0"/>
        <v>66.877999999999702</v>
      </c>
      <c r="DI6">
        <f t="shared" si="0"/>
        <v>-136.96680000000015</v>
      </c>
      <c r="DJ6">
        <f t="shared" si="0"/>
        <v>162.57320000000004</v>
      </c>
      <c r="DK6">
        <f t="shared" si="0"/>
        <v>26.709200000000124</v>
      </c>
      <c r="DL6">
        <f t="shared" si="0"/>
        <v>50.97</v>
      </c>
      <c r="DM6">
        <f t="shared" si="0"/>
        <v>-24.412800000000004</v>
      </c>
      <c r="DN6">
        <f t="shared" si="0"/>
        <v>3.1633999999999993</v>
      </c>
      <c r="DO6">
        <f t="shared" si="0"/>
        <v>-8.6419999999999959</v>
      </c>
      <c r="DP6">
        <f t="shared" si="0"/>
        <v>63.403199999999998</v>
      </c>
      <c r="DQ6">
        <f t="shared" si="0"/>
        <v>-90.286800000000028</v>
      </c>
      <c r="DR6">
        <f t="shared" si="0"/>
        <v>-2.3843999999998005</v>
      </c>
      <c r="DS6">
        <f t="shared" si="0"/>
        <v>-171.81079999999974</v>
      </c>
      <c r="DT6">
        <f t="shared" si="0"/>
        <v>-8.1536999999999988</v>
      </c>
      <c r="DU6">
        <f t="shared" si="0"/>
        <v>35.889399999999981</v>
      </c>
      <c r="DV6">
        <f t="shared" si="0"/>
        <v>-42.339600000000019</v>
      </c>
      <c r="DW6">
        <f t="shared" si="0"/>
        <v>52.183999999999941</v>
      </c>
      <c r="DX6">
        <f t="shared" ref="DX6:DX40" si="45">AP6-CG6</f>
        <v>-12.382400000000001</v>
      </c>
      <c r="DY6">
        <f t="shared" ref="DY6:DY40" si="46">AQ6-CH6</f>
        <v>2.1668000000000003</v>
      </c>
    </row>
    <row r="7" spans="1:129" x14ac:dyDescent="0.25">
      <c r="A7">
        <v>1985</v>
      </c>
      <c r="B7">
        <v>21.8</v>
      </c>
      <c r="C7">
        <v>29.1</v>
      </c>
      <c r="D7">
        <v>39</v>
      </c>
      <c r="E7">
        <v>49</v>
      </c>
      <c r="F7">
        <v>59</v>
      </c>
      <c r="G7">
        <v>62.4</v>
      </c>
      <c r="H7">
        <v>70.5</v>
      </c>
      <c r="I7">
        <v>68.599999999999994</v>
      </c>
      <c r="J7">
        <v>62.6</v>
      </c>
      <c r="K7">
        <v>51.8</v>
      </c>
      <c r="L7">
        <v>42.8</v>
      </c>
      <c r="M7">
        <v>27.3</v>
      </c>
      <c r="N7">
        <v>1.05</v>
      </c>
      <c r="O7">
        <v>2.34</v>
      </c>
      <c r="P7">
        <v>2.44</v>
      </c>
      <c r="Q7">
        <v>1.65</v>
      </c>
      <c r="R7">
        <v>4.5</v>
      </c>
      <c r="S7">
        <v>4.45</v>
      </c>
      <c r="T7">
        <v>4.6100000000000003</v>
      </c>
      <c r="U7">
        <v>6.29</v>
      </c>
      <c r="V7">
        <v>4.59</v>
      </c>
      <c r="W7">
        <v>2.2000000000000002</v>
      </c>
      <c r="X7">
        <v>6.69</v>
      </c>
      <c r="Y7">
        <v>1.61</v>
      </c>
      <c r="Z7">
        <v>1313</v>
      </c>
      <c r="AA7">
        <v>986</v>
      </c>
      <c r="AB7">
        <v>788</v>
      </c>
      <c r="AC7">
        <v>471</v>
      </c>
      <c r="AD7">
        <v>193</v>
      </c>
      <c r="AE7">
        <v>89</v>
      </c>
      <c r="AF7">
        <v>4</v>
      </c>
      <c r="AG7">
        <v>15</v>
      </c>
      <c r="AH7">
        <v>91</v>
      </c>
      <c r="AI7">
        <v>387</v>
      </c>
      <c r="AJ7">
        <v>644</v>
      </c>
      <c r="AK7">
        <v>1139</v>
      </c>
      <c r="AL7">
        <v>15</v>
      </c>
      <c r="AM7">
        <v>28</v>
      </c>
      <c r="AN7">
        <v>190</v>
      </c>
      <c r="AO7">
        <v>143</v>
      </c>
      <c r="AP7">
        <v>36</v>
      </c>
      <c r="AQ7">
        <v>0</v>
      </c>
      <c r="AS7">
        <f t="shared" si="3"/>
        <v>25.076000000000008</v>
      </c>
      <c r="AT7">
        <f t="shared" si="4"/>
        <v>28.844500000000007</v>
      </c>
      <c r="AU7">
        <f t="shared" si="5"/>
        <v>36.367000000000012</v>
      </c>
      <c r="AV7">
        <f t="shared" si="6"/>
        <v>47.095500000000015</v>
      </c>
      <c r="AW7">
        <f t="shared" si="7"/>
        <v>57.213000000000001</v>
      </c>
      <c r="AX7">
        <f t="shared" si="8"/>
        <v>65.742999999999981</v>
      </c>
      <c r="AY7">
        <f t="shared" si="9"/>
        <v>71.053500000000014</v>
      </c>
      <c r="AZ7">
        <f t="shared" si="10"/>
        <v>69.388500000000008</v>
      </c>
      <c r="BA7">
        <f t="shared" si="11"/>
        <v>61.164000000000009</v>
      </c>
      <c r="BB7">
        <f t="shared" si="12"/>
        <v>50.025499999999987</v>
      </c>
      <c r="BC7">
        <f t="shared" si="13"/>
        <v>40.981500000000004</v>
      </c>
      <c r="BD7">
        <f t="shared" si="14"/>
        <v>30.212999999999997</v>
      </c>
      <c r="BE7">
        <f t="shared" si="15"/>
        <v>3.5291000000000006</v>
      </c>
      <c r="BF7">
        <f t="shared" si="16"/>
        <v>3.1079999999999992</v>
      </c>
      <c r="BG7">
        <f t="shared" si="17"/>
        <v>4.7134000000000009</v>
      </c>
      <c r="BH7">
        <f t="shared" si="18"/>
        <v>5.0916000000000015</v>
      </c>
      <c r="BI7">
        <f t="shared" si="19"/>
        <v>4.5541000000000009</v>
      </c>
      <c r="BJ7">
        <f t="shared" si="20"/>
        <v>4.1905999999999981</v>
      </c>
      <c r="BK7">
        <f t="shared" si="21"/>
        <v>4.1477100000000018</v>
      </c>
      <c r="BL7">
        <f t="shared" si="22"/>
        <v>3.9823999999999997</v>
      </c>
      <c r="BM7">
        <f t="shared" si="23"/>
        <v>3.7037999999999998</v>
      </c>
      <c r="BN7">
        <f t="shared" si="24"/>
        <v>4.1595999999999984</v>
      </c>
      <c r="BO7">
        <f t="shared" si="25"/>
        <v>5.0178000000000003</v>
      </c>
      <c r="BP7">
        <f t="shared" si="26"/>
        <v>3.5153999999999987</v>
      </c>
      <c r="BQ7">
        <f t="shared" si="27"/>
        <v>1224.1525000000004</v>
      </c>
      <c r="BR7">
        <f t="shared" si="28"/>
        <v>979.1935000000002</v>
      </c>
      <c r="BS7">
        <f t="shared" si="29"/>
        <v>868.96849999999995</v>
      </c>
      <c r="BT7">
        <f t="shared" si="30"/>
        <v>527.69849999999985</v>
      </c>
      <c r="BU7">
        <f t="shared" si="31"/>
        <v>243.06</v>
      </c>
      <c r="BV7">
        <f t="shared" si="32"/>
        <v>41.840500000000006</v>
      </c>
      <c r="BW7">
        <f t="shared" si="33"/>
        <v>2.7971000000000008</v>
      </c>
      <c r="BX7">
        <f t="shared" si="34"/>
        <v>12.385499999999995</v>
      </c>
      <c r="BY7">
        <f t="shared" si="35"/>
        <v>110.146</v>
      </c>
      <c r="BZ7">
        <f t="shared" si="36"/>
        <v>409.75100000000003</v>
      </c>
      <c r="CA7">
        <f t="shared" si="37"/>
        <v>698.87549999999976</v>
      </c>
      <c r="CB7">
        <f t="shared" si="38"/>
        <v>1052.2884999999997</v>
      </c>
      <c r="CC7">
        <f t="shared" si="39"/>
        <v>8.4437999999999995</v>
      </c>
      <c r="CD7">
        <f t="shared" si="40"/>
        <v>76.850500000000025</v>
      </c>
      <c r="CE7">
        <f t="shared" si="41"/>
        <v>207.07950000000002</v>
      </c>
      <c r="CF7">
        <f t="shared" si="42"/>
        <v>162.51500000000007</v>
      </c>
      <c r="CG7">
        <f t="shared" si="43"/>
        <v>21.836500000000001</v>
      </c>
      <c r="CH7">
        <f t="shared" si="44"/>
        <v>-7.8000000000000055E-2</v>
      </c>
      <c r="CJ7">
        <f t="shared" si="2"/>
        <v>-3.2760000000000069</v>
      </c>
      <c r="CK7">
        <f t="shared" ref="CK7:CK40" si="47">C7-AT7</f>
        <v>0.25549999999999429</v>
      </c>
      <c r="CL7">
        <f t="shared" ref="CL7:CL40" si="48">D7-AU7</f>
        <v>2.6329999999999885</v>
      </c>
      <c r="CM7">
        <f t="shared" ref="CM7:CM40" si="49">E7-AV7</f>
        <v>1.9044999999999845</v>
      </c>
      <c r="CN7">
        <f t="shared" ref="CN7:CN40" si="50">F7-AW7</f>
        <v>1.786999999999999</v>
      </c>
      <c r="CO7">
        <f t="shared" ref="CO7:CO40" si="51">G7-AX7</f>
        <v>-3.3429999999999822</v>
      </c>
      <c r="CP7">
        <f t="shared" ref="CP7:CP40" si="52">H7-AY7</f>
        <v>-0.55350000000001387</v>
      </c>
      <c r="CQ7">
        <f t="shared" ref="CQ7:CQ40" si="53">I7-AZ7</f>
        <v>-0.7885000000000133</v>
      </c>
      <c r="CR7">
        <f t="shared" ref="CR7:CR40" si="54">J7-BA7</f>
        <v>1.4359999999999928</v>
      </c>
      <c r="CS7">
        <f t="shared" ref="CS7:CS40" si="55">K7-BB7</f>
        <v>1.7745000000000104</v>
      </c>
      <c r="CT7">
        <f t="shared" ref="CT7:CT40" si="56">L7-BC7</f>
        <v>1.8184999999999931</v>
      </c>
      <c r="CU7">
        <f t="shared" ref="CU7:CU40" si="57">M7-BD7</f>
        <v>-2.9129999999999967</v>
      </c>
      <c r="CV7">
        <f t="shared" ref="CV7:CV40" si="58">N7-BE7</f>
        <v>-2.4791000000000007</v>
      </c>
      <c r="CW7">
        <f t="shared" ref="CW7:CW40" si="59">O7-BF7</f>
        <v>-0.76799999999999935</v>
      </c>
      <c r="CX7">
        <f t="shared" ref="CX7:CX40" si="60">P7-BG7</f>
        <v>-2.273400000000001</v>
      </c>
      <c r="CY7">
        <f t="shared" ref="CY7:CY40" si="61">Q7-BH7</f>
        <v>-3.4416000000000015</v>
      </c>
      <c r="CZ7">
        <f t="shared" ref="CZ7:CZ40" si="62">R7-BI7</f>
        <v>-5.4100000000000925E-2</v>
      </c>
      <c r="DA7">
        <f t="shared" ref="DA7:DA40" si="63">S7-BJ7</f>
        <v>0.25940000000000207</v>
      </c>
      <c r="DB7">
        <f t="shared" ref="DB7:DB40" si="64">T7-BK7</f>
        <v>0.46228999999999854</v>
      </c>
      <c r="DC7">
        <f t="shared" ref="DC7:DC40" si="65">U7-BL7</f>
        <v>2.3076000000000003</v>
      </c>
      <c r="DD7">
        <f t="shared" ref="DD7:DD40" si="66">V7-BM7</f>
        <v>0.8862000000000001</v>
      </c>
      <c r="DE7">
        <f t="shared" ref="DE7:DE40" si="67">W7-BN7</f>
        <v>-1.9595999999999982</v>
      </c>
      <c r="DF7">
        <f t="shared" ref="DF7:DF40" si="68">X7-BO7</f>
        <v>1.6722000000000001</v>
      </c>
      <c r="DG7">
        <f t="shared" ref="DG7:DG40" si="69">Y7-BP7</f>
        <v>-1.9053999999999987</v>
      </c>
      <c r="DH7">
        <f t="shared" ref="DH7:DH40" si="70">Z7-BQ7</f>
        <v>88.847499999999627</v>
      </c>
      <c r="DI7">
        <f t="shared" ref="DI7:DI40" si="71">AA7-BR7</f>
        <v>6.8064999999998008</v>
      </c>
      <c r="DJ7">
        <f t="shared" ref="DJ7:DJ40" si="72">AB7-BS7</f>
        <v>-80.968499999999949</v>
      </c>
      <c r="DK7">
        <f t="shared" ref="DK7:DK40" si="73">AC7-BT7</f>
        <v>-56.698499999999854</v>
      </c>
      <c r="DL7">
        <f t="shared" ref="DL7:DL40" si="74">AD7-BU7</f>
        <v>-50.06</v>
      </c>
      <c r="DM7">
        <f t="shared" ref="DM7:DM40" si="75">AE7-BV7</f>
        <v>47.159499999999994</v>
      </c>
      <c r="DN7">
        <f t="shared" ref="DN7:DN40" si="76">AF7-BW7</f>
        <v>1.2028999999999992</v>
      </c>
      <c r="DO7">
        <f t="shared" ref="DO7:DO40" si="77">AG7-BX7</f>
        <v>2.6145000000000049</v>
      </c>
      <c r="DP7">
        <f t="shared" ref="DP7:DP40" si="78">AH7-BY7</f>
        <v>-19.146000000000001</v>
      </c>
      <c r="DQ7">
        <f t="shared" ref="DQ7:DQ40" si="79">AI7-BZ7</f>
        <v>-22.751000000000033</v>
      </c>
      <c r="DR7">
        <f t="shared" ref="DR7:DR40" si="80">AJ7-CA7</f>
        <v>-54.875499999999761</v>
      </c>
      <c r="DS7">
        <f t="shared" ref="DS7:DS40" si="81">AK7-CB7</f>
        <v>86.711500000000342</v>
      </c>
      <c r="DT7">
        <f t="shared" ref="DT7:DT40" si="82">AL7-CC7</f>
        <v>6.5562000000000005</v>
      </c>
      <c r="DU7">
        <f t="shared" ref="DU7:DU40" si="83">AM7-CD7</f>
        <v>-48.850500000000025</v>
      </c>
      <c r="DV7">
        <f t="shared" ref="DV7:DV40" si="84">AN7-CE7</f>
        <v>-17.079500000000024</v>
      </c>
      <c r="DW7">
        <f t="shared" ref="DW7:DW40" si="85">AO7-CF7</f>
        <v>-19.515000000000072</v>
      </c>
      <c r="DX7">
        <f t="shared" si="45"/>
        <v>14.163499999999999</v>
      </c>
      <c r="DY7">
        <f t="shared" si="46"/>
        <v>7.8000000000000055E-2</v>
      </c>
    </row>
    <row r="8" spans="1:129" x14ac:dyDescent="0.25">
      <c r="A8">
        <v>1986</v>
      </c>
      <c r="B8">
        <v>27.4</v>
      </c>
      <c r="C8">
        <v>25.7</v>
      </c>
      <c r="D8">
        <v>37.4</v>
      </c>
      <c r="E8">
        <v>48.9</v>
      </c>
      <c r="F8">
        <v>59.1</v>
      </c>
      <c r="G8">
        <v>64.400000000000006</v>
      </c>
      <c r="H8">
        <v>70.2</v>
      </c>
      <c r="I8">
        <v>67</v>
      </c>
      <c r="J8">
        <v>60.2</v>
      </c>
      <c r="K8">
        <v>51</v>
      </c>
      <c r="L8">
        <v>38.299999999999997</v>
      </c>
      <c r="M8">
        <v>32.299999999999997</v>
      </c>
      <c r="N8">
        <v>4.96</v>
      </c>
      <c r="O8">
        <v>3.4</v>
      </c>
      <c r="P8">
        <v>3.17</v>
      </c>
      <c r="Q8">
        <v>1.88</v>
      </c>
      <c r="R8">
        <v>1.43</v>
      </c>
      <c r="S8">
        <v>5.26</v>
      </c>
      <c r="T8">
        <v>5.65</v>
      </c>
      <c r="U8">
        <v>4.12</v>
      </c>
      <c r="V8">
        <v>1.06</v>
      </c>
      <c r="W8">
        <v>2.66</v>
      </c>
      <c r="X8">
        <v>7.1</v>
      </c>
      <c r="Y8">
        <v>6</v>
      </c>
      <c r="Z8">
        <v>1139</v>
      </c>
      <c r="AA8">
        <v>1080</v>
      </c>
      <c r="AB8">
        <v>836</v>
      </c>
      <c r="AC8">
        <v>473</v>
      </c>
      <c r="AD8">
        <v>190</v>
      </c>
      <c r="AE8">
        <v>54</v>
      </c>
      <c r="AF8">
        <v>4</v>
      </c>
      <c r="AG8">
        <v>27</v>
      </c>
      <c r="AH8">
        <v>141</v>
      </c>
      <c r="AI8">
        <v>414</v>
      </c>
      <c r="AJ8">
        <v>779</v>
      </c>
      <c r="AK8">
        <v>988</v>
      </c>
      <c r="AL8">
        <v>15</v>
      </c>
      <c r="AM8">
        <v>54</v>
      </c>
      <c r="AN8">
        <v>180</v>
      </c>
      <c r="AO8">
        <v>105</v>
      </c>
      <c r="AP8">
        <v>16</v>
      </c>
      <c r="AQ8">
        <v>0</v>
      </c>
      <c r="AS8">
        <f t="shared" si="3"/>
        <v>25.166800000000009</v>
      </c>
      <c r="AT8">
        <f t="shared" si="4"/>
        <v>28.862200000000009</v>
      </c>
      <c r="AU8">
        <f t="shared" si="5"/>
        <v>36.387200000000014</v>
      </c>
      <c r="AV8">
        <f t="shared" si="6"/>
        <v>47.126000000000019</v>
      </c>
      <c r="AW8">
        <f t="shared" si="7"/>
        <v>57.261400000000002</v>
      </c>
      <c r="AX8">
        <f t="shared" si="8"/>
        <v>65.787799999999976</v>
      </c>
      <c r="AY8">
        <f t="shared" si="9"/>
        <v>71.111800000000017</v>
      </c>
      <c r="AZ8">
        <f t="shared" si="10"/>
        <v>69.43780000000001</v>
      </c>
      <c r="BA8">
        <f t="shared" si="11"/>
        <v>61.279000000000011</v>
      </c>
      <c r="BB8">
        <f t="shared" si="12"/>
        <v>50.134599999999985</v>
      </c>
      <c r="BC8">
        <f t="shared" si="13"/>
        <v>41.034400000000005</v>
      </c>
      <c r="BD8">
        <f t="shared" si="14"/>
        <v>30.327399999999997</v>
      </c>
      <c r="BE8">
        <f t="shared" si="15"/>
        <v>3.5325000000000006</v>
      </c>
      <c r="BF8">
        <f t="shared" si="16"/>
        <v>3.1110999999999991</v>
      </c>
      <c r="BG8">
        <f t="shared" si="17"/>
        <v>4.7358000000000011</v>
      </c>
      <c r="BH8">
        <f t="shared" si="18"/>
        <v>5.1239000000000017</v>
      </c>
      <c r="BI8">
        <f t="shared" si="19"/>
        <v>4.5742000000000012</v>
      </c>
      <c r="BJ8">
        <f t="shared" si="20"/>
        <v>4.2082999999999977</v>
      </c>
      <c r="BK8">
        <f t="shared" si="21"/>
        <v>4.1477120000000021</v>
      </c>
      <c r="BL8">
        <f t="shared" si="22"/>
        <v>3.9928999999999997</v>
      </c>
      <c r="BM8">
        <f t="shared" si="23"/>
        <v>3.7247999999999997</v>
      </c>
      <c r="BN8">
        <f t="shared" si="24"/>
        <v>4.1905999999999981</v>
      </c>
      <c r="BO8">
        <f t="shared" si="25"/>
        <v>4.9522000000000004</v>
      </c>
      <c r="BP8">
        <f t="shared" si="26"/>
        <v>3.5434999999999985</v>
      </c>
      <c r="BQ8">
        <f t="shared" si="27"/>
        <v>1224.1830000000004</v>
      </c>
      <c r="BR8">
        <f t="shared" si="28"/>
        <v>976.42020000000025</v>
      </c>
      <c r="BS8">
        <f t="shared" si="29"/>
        <v>868.51019999999994</v>
      </c>
      <c r="BT8">
        <f t="shared" si="30"/>
        <v>527.10619999999983</v>
      </c>
      <c r="BU8">
        <f t="shared" si="31"/>
        <v>242.09</v>
      </c>
      <c r="BV8">
        <f t="shared" si="32"/>
        <v>41.268200000000007</v>
      </c>
      <c r="BW8">
        <f t="shared" si="33"/>
        <v>2.7576000000000009</v>
      </c>
      <c r="BX8">
        <f t="shared" si="34"/>
        <v>12.128999999999994</v>
      </c>
      <c r="BY8">
        <f t="shared" si="35"/>
        <v>108.6952</v>
      </c>
      <c r="BZ8">
        <f t="shared" si="36"/>
        <v>408.21520000000004</v>
      </c>
      <c r="CA8">
        <f t="shared" si="37"/>
        <v>697.36659999999972</v>
      </c>
      <c r="CB8">
        <f t="shared" si="38"/>
        <v>1048.7661999999996</v>
      </c>
      <c r="CC8">
        <f t="shared" si="39"/>
        <v>8.7339000000000002</v>
      </c>
      <c r="CD8">
        <f t="shared" si="40"/>
        <v>77.590400000000031</v>
      </c>
      <c r="CE8">
        <f t="shared" si="41"/>
        <v>208.81940000000003</v>
      </c>
      <c r="CF8">
        <f t="shared" si="42"/>
        <v>164.21400000000008</v>
      </c>
      <c r="CG8">
        <f t="shared" si="43"/>
        <v>23.290600000000001</v>
      </c>
      <c r="CH8">
        <f t="shared" si="44"/>
        <v>1.0799999999999949E-2</v>
      </c>
      <c r="CJ8">
        <f t="shared" si="2"/>
        <v>2.2331999999999894</v>
      </c>
      <c r="CK8">
        <f t="shared" si="47"/>
        <v>-3.1622000000000092</v>
      </c>
      <c r="CL8">
        <f t="shared" si="48"/>
        <v>1.0127999999999844</v>
      </c>
      <c r="CM8">
        <f t="shared" si="49"/>
        <v>1.7739999999999796</v>
      </c>
      <c r="CN8">
        <f t="shared" si="50"/>
        <v>1.8385999999999996</v>
      </c>
      <c r="CO8">
        <f t="shared" si="51"/>
        <v>-1.3877999999999702</v>
      </c>
      <c r="CP8">
        <f t="shared" si="52"/>
        <v>-0.91180000000001371</v>
      </c>
      <c r="CQ8">
        <f t="shared" si="53"/>
        <v>-2.43780000000001</v>
      </c>
      <c r="CR8">
        <f t="shared" si="54"/>
        <v>-1.0790000000000077</v>
      </c>
      <c r="CS8">
        <f t="shared" si="55"/>
        <v>0.86540000000001527</v>
      </c>
      <c r="CT8">
        <f t="shared" si="56"/>
        <v>-2.7344000000000079</v>
      </c>
      <c r="CU8">
        <f t="shared" si="57"/>
        <v>1.9725999999999999</v>
      </c>
      <c r="CV8">
        <f t="shared" si="58"/>
        <v>1.4274999999999993</v>
      </c>
      <c r="CW8">
        <f t="shared" si="59"/>
        <v>0.28890000000000082</v>
      </c>
      <c r="CX8">
        <f t="shared" si="60"/>
        <v>-1.5658000000000012</v>
      </c>
      <c r="CY8">
        <f t="shared" si="61"/>
        <v>-3.2439000000000018</v>
      </c>
      <c r="CZ8">
        <f t="shared" si="62"/>
        <v>-3.1442000000000014</v>
      </c>
      <c r="DA8">
        <f t="shared" si="63"/>
        <v>1.0517000000000021</v>
      </c>
      <c r="DB8">
        <f t="shared" si="64"/>
        <v>1.5022879999999983</v>
      </c>
      <c r="DC8">
        <f t="shared" si="65"/>
        <v>0.12710000000000043</v>
      </c>
      <c r="DD8">
        <f t="shared" si="66"/>
        <v>-2.6647999999999996</v>
      </c>
      <c r="DE8">
        <f t="shared" si="67"/>
        <v>-1.530599999999998</v>
      </c>
      <c r="DF8">
        <f t="shared" si="68"/>
        <v>2.1477999999999993</v>
      </c>
      <c r="DG8">
        <f t="shared" si="69"/>
        <v>2.4565000000000015</v>
      </c>
      <c r="DH8">
        <f t="shared" si="70"/>
        <v>-85.183000000000447</v>
      </c>
      <c r="DI8">
        <f t="shared" si="71"/>
        <v>103.57979999999975</v>
      </c>
      <c r="DJ8">
        <f t="shared" si="72"/>
        <v>-32.510199999999941</v>
      </c>
      <c r="DK8">
        <f t="shared" si="73"/>
        <v>-54.106199999999831</v>
      </c>
      <c r="DL8">
        <f t="shared" si="74"/>
        <v>-52.09</v>
      </c>
      <c r="DM8">
        <f t="shared" si="75"/>
        <v>12.731799999999993</v>
      </c>
      <c r="DN8">
        <f t="shared" si="76"/>
        <v>1.2423999999999991</v>
      </c>
      <c r="DO8">
        <f t="shared" si="77"/>
        <v>14.871000000000006</v>
      </c>
      <c r="DP8">
        <f t="shared" si="78"/>
        <v>32.3048</v>
      </c>
      <c r="DQ8">
        <f t="shared" si="79"/>
        <v>5.7847999999999615</v>
      </c>
      <c r="DR8">
        <f t="shared" si="80"/>
        <v>81.633400000000279</v>
      </c>
      <c r="DS8">
        <f t="shared" si="81"/>
        <v>-60.766199999999571</v>
      </c>
      <c r="DT8">
        <f t="shared" si="82"/>
        <v>6.2660999999999998</v>
      </c>
      <c r="DU8">
        <f t="shared" si="83"/>
        <v>-23.590400000000031</v>
      </c>
      <c r="DV8">
        <f t="shared" si="84"/>
        <v>-28.81940000000003</v>
      </c>
      <c r="DW8">
        <f t="shared" si="85"/>
        <v>-59.214000000000084</v>
      </c>
      <c r="DX8">
        <f t="shared" si="45"/>
        <v>-7.2906000000000013</v>
      </c>
      <c r="DY8">
        <f t="shared" si="46"/>
        <v>-1.0799999999999949E-2</v>
      </c>
    </row>
    <row r="9" spans="1:129" x14ac:dyDescent="0.25">
      <c r="A9">
        <v>1987</v>
      </c>
      <c r="B9">
        <v>25.5</v>
      </c>
      <c r="C9">
        <v>26.3</v>
      </c>
      <c r="D9">
        <v>38.299999999999997</v>
      </c>
      <c r="E9">
        <v>48.2</v>
      </c>
      <c r="F9">
        <v>57.7</v>
      </c>
      <c r="G9">
        <v>67.3</v>
      </c>
      <c r="H9">
        <v>72.3</v>
      </c>
      <c r="I9">
        <v>67.3</v>
      </c>
      <c r="J9">
        <v>61.2</v>
      </c>
      <c r="K9">
        <v>48.2</v>
      </c>
      <c r="L9">
        <v>41</v>
      </c>
      <c r="M9">
        <v>32.6</v>
      </c>
      <c r="N9">
        <v>5.37</v>
      </c>
      <c r="O9">
        <v>0.49</v>
      </c>
      <c r="P9">
        <v>4.29</v>
      </c>
      <c r="Q9">
        <v>8.32</v>
      </c>
      <c r="R9">
        <v>2.15</v>
      </c>
      <c r="S9">
        <v>2.74</v>
      </c>
      <c r="T9">
        <v>1.91</v>
      </c>
      <c r="U9">
        <v>4.18</v>
      </c>
      <c r="V9">
        <v>5.68</v>
      </c>
      <c r="W9">
        <v>4.04</v>
      </c>
      <c r="X9">
        <v>3.02</v>
      </c>
      <c r="Y9">
        <v>2.2400000000000002</v>
      </c>
      <c r="Z9">
        <v>1196</v>
      </c>
      <c r="AA9">
        <v>1057</v>
      </c>
      <c r="AB9">
        <v>809</v>
      </c>
      <c r="AC9">
        <v>494</v>
      </c>
      <c r="AD9">
        <v>225</v>
      </c>
      <c r="AE9">
        <v>20</v>
      </c>
      <c r="AF9">
        <v>0</v>
      </c>
      <c r="AG9">
        <v>24</v>
      </c>
      <c r="AH9">
        <v>117</v>
      </c>
      <c r="AI9">
        <v>502</v>
      </c>
      <c r="AJ9">
        <v>697</v>
      </c>
      <c r="AK9">
        <v>981</v>
      </c>
      <c r="AL9">
        <v>10</v>
      </c>
      <c r="AM9">
        <v>105</v>
      </c>
      <c r="AN9">
        <v>240</v>
      </c>
      <c r="AO9">
        <v>111</v>
      </c>
      <c r="AP9">
        <v>22</v>
      </c>
      <c r="AQ9">
        <v>0</v>
      </c>
      <c r="AS9">
        <f t="shared" si="3"/>
        <v>25.257600000000011</v>
      </c>
      <c r="AT9">
        <f t="shared" si="4"/>
        <v>28.87990000000001</v>
      </c>
      <c r="AU9">
        <f t="shared" si="5"/>
        <v>36.407400000000017</v>
      </c>
      <c r="AV9">
        <f t="shared" si="6"/>
        <v>47.156500000000023</v>
      </c>
      <c r="AW9">
        <f t="shared" si="7"/>
        <v>57.309800000000003</v>
      </c>
      <c r="AX9">
        <f t="shared" si="8"/>
        <v>65.832599999999971</v>
      </c>
      <c r="AY9">
        <f t="shared" si="9"/>
        <v>71.170100000000019</v>
      </c>
      <c r="AZ9">
        <f t="shared" si="10"/>
        <v>69.487100000000012</v>
      </c>
      <c r="BA9">
        <f t="shared" si="11"/>
        <v>61.394000000000013</v>
      </c>
      <c r="BB9">
        <f t="shared" si="12"/>
        <v>50.243699999999983</v>
      </c>
      <c r="BC9">
        <f t="shared" si="13"/>
        <v>41.087300000000006</v>
      </c>
      <c r="BD9">
        <f t="shared" si="14"/>
        <v>30.441799999999997</v>
      </c>
      <c r="BE9">
        <f t="shared" si="15"/>
        <v>3.5359000000000007</v>
      </c>
      <c r="BF9">
        <f t="shared" si="16"/>
        <v>3.114199999999999</v>
      </c>
      <c r="BG9">
        <f t="shared" si="17"/>
        <v>4.7582000000000013</v>
      </c>
      <c r="BH9">
        <f t="shared" si="18"/>
        <v>5.1562000000000019</v>
      </c>
      <c r="BI9">
        <f t="shared" si="19"/>
        <v>4.5943000000000014</v>
      </c>
      <c r="BJ9">
        <f t="shared" si="20"/>
        <v>4.2259999999999973</v>
      </c>
      <c r="BK9">
        <f t="shared" si="21"/>
        <v>4.1477140000000023</v>
      </c>
      <c r="BL9">
        <f t="shared" si="22"/>
        <v>4.0034000000000001</v>
      </c>
      <c r="BM9">
        <f t="shared" si="23"/>
        <v>3.7457999999999996</v>
      </c>
      <c r="BN9">
        <f t="shared" si="24"/>
        <v>4.2215999999999978</v>
      </c>
      <c r="BO9">
        <f t="shared" si="25"/>
        <v>4.8866000000000005</v>
      </c>
      <c r="BP9">
        <f t="shared" si="26"/>
        <v>3.5715999999999983</v>
      </c>
      <c r="BQ9">
        <f t="shared" si="27"/>
        <v>1224.2135000000005</v>
      </c>
      <c r="BR9">
        <f t="shared" si="28"/>
        <v>973.6469000000003</v>
      </c>
      <c r="BS9">
        <f t="shared" si="29"/>
        <v>868.05189999999993</v>
      </c>
      <c r="BT9">
        <f t="shared" si="30"/>
        <v>526.51389999999981</v>
      </c>
      <c r="BU9">
        <f t="shared" si="31"/>
        <v>241.12</v>
      </c>
      <c r="BV9">
        <f t="shared" si="32"/>
        <v>40.695900000000009</v>
      </c>
      <c r="BW9">
        <f t="shared" si="33"/>
        <v>2.7181000000000011</v>
      </c>
      <c r="BX9">
        <f t="shared" si="34"/>
        <v>11.872499999999993</v>
      </c>
      <c r="BY9">
        <f t="shared" si="35"/>
        <v>107.2444</v>
      </c>
      <c r="BZ9">
        <f t="shared" si="36"/>
        <v>406.67940000000004</v>
      </c>
      <c r="CA9">
        <f t="shared" si="37"/>
        <v>695.85769999999968</v>
      </c>
      <c r="CB9">
        <f t="shared" si="38"/>
        <v>1045.2438999999995</v>
      </c>
      <c r="CC9">
        <f t="shared" si="39"/>
        <v>9.0240000000000009</v>
      </c>
      <c r="CD9">
        <f t="shared" si="40"/>
        <v>78.330300000000037</v>
      </c>
      <c r="CE9">
        <f t="shared" si="41"/>
        <v>210.55930000000004</v>
      </c>
      <c r="CF9">
        <f t="shared" si="42"/>
        <v>165.9130000000001</v>
      </c>
      <c r="CG9">
        <f t="shared" si="43"/>
        <v>24.744700000000002</v>
      </c>
      <c r="CH9">
        <f t="shared" si="44"/>
        <v>9.9599999999999952E-2</v>
      </c>
      <c r="CJ9">
        <f t="shared" si="2"/>
        <v>0.24239999999998929</v>
      </c>
      <c r="CK9">
        <f t="shared" si="47"/>
        <v>-2.5799000000000092</v>
      </c>
      <c r="CL9">
        <f t="shared" si="48"/>
        <v>1.8925999999999803</v>
      </c>
      <c r="CM9">
        <f t="shared" si="49"/>
        <v>1.0434999999999803</v>
      </c>
      <c r="CN9">
        <f t="shared" si="50"/>
        <v>0.3902000000000001</v>
      </c>
      <c r="CO9">
        <f t="shared" si="51"/>
        <v>1.4674000000000262</v>
      </c>
      <c r="CP9">
        <f t="shared" si="52"/>
        <v>1.1298999999999779</v>
      </c>
      <c r="CQ9">
        <f t="shared" si="53"/>
        <v>-2.1871000000000151</v>
      </c>
      <c r="CR9">
        <f t="shared" si="54"/>
        <v>-0.19400000000000972</v>
      </c>
      <c r="CS9">
        <f t="shared" si="55"/>
        <v>-2.0436999999999799</v>
      </c>
      <c r="CT9">
        <f t="shared" si="56"/>
        <v>-8.730000000000615E-2</v>
      </c>
      <c r="CU9">
        <f t="shared" si="57"/>
        <v>2.1582000000000043</v>
      </c>
      <c r="CV9">
        <f t="shared" si="58"/>
        <v>1.8340999999999994</v>
      </c>
      <c r="CW9">
        <f t="shared" si="59"/>
        <v>-2.6241999999999992</v>
      </c>
      <c r="CX9">
        <f t="shared" si="60"/>
        <v>-0.46820000000000128</v>
      </c>
      <c r="CY9">
        <f t="shared" si="61"/>
        <v>3.1637999999999984</v>
      </c>
      <c r="CZ9">
        <f t="shared" si="62"/>
        <v>-2.4443000000000015</v>
      </c>
      <c r="DA9">
        <f t="shared" si="63"/>
        <v>-1.4859999999999971</v>
      </c>
      <c r="DB9">
        <f t="shared" si="64"/>
        <v>-2.2377140000000022</v>
      </c>
      <c r="DC9">
        <f t="shared" si="65"/>
        <v>0.17659999999999965</v>
      </c>
      <c r="DD9">
        <f t="shared" si="66"/>
        <v>1.9342000000000001</v>
      </c>
      <c r="DE9">
        <f t="shared" si="67"/>
        <v>-0.18159999999999776</v>
      </c>
      <c r="DF9">
        <f t="shared" si="68"/>
        <v>-1.8666000000000005</v>
      </c>
      <c r="DG9">
        <f t="shared" si="69"/>
        <v>-1.3315999999999981</v>
      </c>
      <c r="DH9">
        <f t="shared" si="70"/>
        <v>-28.213500000000522</v>
      </c>
      <c r="DI9">
        <f t="shared" si="71"/>
        <v>83.353099999999699</v>
      </c>
      <c r="DJ9">
        <f t="shared" si="72"/>
        <v>-59.051899999999932</v>
      </c>
      <c r="DK9">
        <f t="shared" si="73"/>
        <v>-32.513899999999808</v>
      </c>
      <c r="DL9">
        <f t="shared" si="74"/>
        <v>-16.120000000000005</v>
      </c>
      <c r="DM9">
        <f t="shared" si="75"/>
        <v>-20.695900000000009</v>
      </c>
      <c r="DN9">
        <f t="shared" si="76"/>
        <v>-2.7181000000000011</v>
      </c>
      <c r="DO9">
        <f t="shared" si="77"/>
        <v>12.127500000000007</v>
      </c>
      <c r="DP9">
        <f t="shared" si="78"/>
        <v>9.7556000000000012</v>
      </c>
      <c r="DQ9">
        <f t="shared" si="79"/>
        <v>95.320599999999956</v>
      </c>
      <c r="DR9">
        <f t="shared" si="80"/>
        <v>1.1423000000003185</v>
      </c>
      <c r="DS9">
        <f t="shared" si="81"/>
        <v>-64.243899999999485</v>
      </c>
      <c r="DT9">
        <f t="shared" si="82"/>
        <v>0.97599999999999909</v>
      </c>
      <c r="DU9">
        <f t="shared" si="83"/>
        <v>26.669699999999963</v>
      </c>
      <c r="DV9">
        <f t="shared" si="84"/>
        <v>29.440699999999964</v>
      </c>
      <c r="DW9">
        <f t="shared" si="85"/>
        <v>-54.913000000000096</v>
      </c>
      <c r="DX9">
        <f t="shared" si="45"/>
        <v>-2.7447000000000017</v>
      </c>
      <c r="DY9">
        <f t="shared" si="46"/>
        <v>-9.9599999999999952E-2</v>
      </c>
    </row>
    <row r="10" spans="1:129" x14ac:dyDescent="0.25">
      <c r="A10">
        <v>1988</v>
      </c>
      <c r="B10">
        <v>22.4</v>
      </c>
      <c r="C10">
        <v>28.2</v>
      </c>
      <c r="D10">
        <v>37.1</v>
      </c>
      <c r="E10">
        <v>45.6</v>
      </c>
      <c r="F10">
        <v>57.6</v>
      </c>
      <c r="G10">
        <v>65.400000000000006</v>
      </c>
      <c r="H10">
        <v>73.099999999999994</v>
      </c>
      <c r="I10">
        <v>72.400000000000006</v>
      </c>
      <c r="J10">
        <v>60.4</v>
      </c>
      <c r="K10">
        <v>46.6</v>
      </c>
      <c r="L10">
        <v>42</v>
      </c>
      <c r="M10">
        <v>29.1</v>
      </c>
      <c r="N10">
        <v>3.09</v>
      </c>
      <c r="O10">
        <v>4</v>
      </c>
      <c r="P10">
        <v>2.89</v>
      </c>
      <c r="Q10">
        <v>2.33</v>
      </c>
      <c r="R10">
        <v>3.61</v>
      </c>
      <c r="S10">
        <v>1.08</v>
      </c>
      <c r="T10">
        <v>7.3</v>
      </c>
      <c r="U10">
        <v>2.58</v>
      </c>
      <c r="V10">
        <v>2.52</v>
      </c>
      <c r="W10">
        <v>3</v>
      </c>
      <c r="X10">
        <v>8.98</v>
      </c>
      <c r="Y10">
        <v>1.56</v>
      </c>
      <c r="Z10">
        <v>1295</v>
      </c>
      <c r="AA10">
        <v>1005</v>
      </c>
      <c r="AB10">
        <v>845</v>
      </c>
      <c r="AC10">
        <v>568</v>
      </c>
      <c r="AD10">
        <v>231</v>
      </c>
      <c r="AE10">
        <v>42</v>
      </c>
      <c r="AF10">
        <v>0</v>
      </c>
      <c r="AG10">
        <v>0</v>
      </c>
      <c r="AH10">
        <v>137</v>
      </c>
      <c r="AI10">
        <v>550</v>
      </c>
      <c r="AJ10">
        <v>671</v>
      </c>
      <c r="AK10">
        <v>1088</v>
      </c>
      <c r="AL10">
        <v>9</v>
      </c>
      <c r="AM10">
        <v>67</v>
      </c>
      <c r="AN10">
        <v>262</v>
      </c>
      <c r="AO10">
        <v>247</v>
      </c>
      <c r="AP10">
        <v>17</v>
      </c>
      <c r="AQ10">
        <v>0</v>
      </c>
      <c r="AS10">
        <f t="shared" si="3"/>
        <v>25.348400000000012</v>
      </c>
      <c r="AT10">
        <f t="shared" si="4"/>
        <v>28.897600000000011</v>
      </c>
      <c r="AU10">
        <f t="shared" si="5"/>
        <v>36.42760000000002</v>
      </c>
      <c r="AV10">
        <f t="shared" si="6"/>
        <v>47.187000000000026</v>
      </c>
      <c r="AW10">
        <f t="shared" si="7"/>
        <v>57.358200000000004</v>
      </c>
      <c r="AX10">
        <f t="shared" si="8"/>
        <v>65.877399999999966</v>
      </c>
      <c r="AY10">
        <f t="shared" si="9"/>
        <v>71.228400000000022</v>
      </c>
      <c r="AZ10">
        <f t="shared" si="10"/>
        <v>69.536400000000015</v>
      </c>
      <c r="BA10">
        <f t="shared" si="11"/>
        <v>61.509000000000015</v>
      </c>
      <c r="BB10">
        <f t="shared" si="12"/>
        <v>50.352799999999981</v>
      </c>
      <c r="BC10">
        <f t="shared" si="13"/>
        <v>41.140200000000007</v>
      </c>
      <c r="BD10">
        <f t="shared" si="14"/>
        <v>30.556199999999997</v>
      </c>
      <c r="BE10">
        <f t="shared" si="15"/>
        <v>3.5393000000000008</v>
      </c>
      <c r="BF10">
        <f t="shared" si="16"/>
        <v>3.1172999999999988</v>
      </c>
      <c r="BG10">
        <f t="shared" si="17"/>
        <v>4.7806000000000015</v>
      </c>
      <c r="BH10">
        <f t="shared" si="18"/>
        <v>5.1885000000000021</v>
      </c>
      <c r="BI10">
        <f t="shared" si="19"/>
        <v>4.6144000000000016</v>
      </c>
      <c r="BJ10">
        <f t="shared" si="20"/>
        <v>4.2436999999999969</v>
      </c>
      <c r="BK10">
        <f t="shared" si="21"/>
        <v>4.1477160000000026</v>
      </c>
      <c r="BL10">
        <f t="shared" si="22"/>
        <v>4.0139000000000005</v>
      </c>
      <c r="BM10">
        <f t="shared" si="23"/>
        <v>3.7667999999999995</v>
      </c>
      <c r="BN10">
        <f t="shared" si="24"/>
        <v>4.2525999999999975</v>
      </c>
      <c r="BO10">
        <f t="shared" si="25"/>
        <v>4.8210000000000006</v>
      </c>
      <c r="BP10">
        <f t="shared" si="26"/>
        <v>3.5996999999999981</v>
      </c>
      <c r="BQ10">
        <f t="shared" si="27"/>
        <v>1224.2440000000006</v>
      </c>
      <c r="BR10">
        <f t="shared" si="28"/>
        <v>970.87360000000035</v>
      </c>
      <c r="BS10">
        <f t="shared" si="29"/>
        <v>867.59359999999992</v>
      </c>
      <c r="BT10">
        <f t="shared" si="30"/>
        <v>525.92159999999978</v>
      </c>
      <c r="BU10">
        <f t="shared" si="31"/>
        <v>240.15</v>
      </c>
      <c r="BV10">
        <f t="shared" si="32"/>
        <v>40.12360000000001</v>
      </c>
      <c r="BW10">
        <f t="shared" si="33"/>
        <v>2.6786000000000012</v>
      </c>
      <c r="BX10">
        <f t="shared" si="34"/>
        <v>11.615999999999993</v>
      </c>
      <c r="BY10">
        <f t="shared" si="35"/>
        <v>105.7936</v>
      </c>
      <c r="BZ10">
        <f t="shared" si="36"/>
        <v>405.14360000000005</v>
      </c>
      <c r="CA10">
        <f t="shared" si="37"/>
        <v>694.34879999999964</v>
      </c>
      <c r="CB10">
        <f t="shared" si="38"/>
        <v>1041.7215999999994</v>
      </c>
      <c r="CC10">
        <f t="shared" si="39"/>
        <v>9.3141000000000016</v>
      </c>
      <c r="CD10">
        <f t="shared" si="40"/>
        <v>79.070200000000042</v>
      </c>
      <c r="CE10">
        <f t="shared" si="41"/>
        <v>212.29920000000004</v>
      </c>
      <c r="CF10">
        <f t="shared" si="42"/>
        <v>167.61200000000011</v>
      </c>
      <c r="CG10">
        <f t="shared" si="43"/>
        <v>26.198800000000002</v>
      </c>
      <c r="CH10">
        <f t="shared" si="44"/>
        <v>0.18839999999999996</v>
      </c>
      <c r="CJ10">
        <f t="shared" si="2"/>
        <v>-2.9484000000000137</v>
      </c>
      <c r="CK10">
        <f t="shared" si="47"/>
        <v>-0.69760000000001199</v>
      </c>
      <c r="CL10">
        <f t="shared" si="48"/>
        <v>0.6723999999999819</v>
      </c>
      <c r="CM10">
        <f t="shared" si="49"/>
        <v>-1.5870000000000246</v>
      </c>
      <c r="CN10">
        <f t="shared" si="50"/>
        <v>0.24179999999999779</v>
      </c>
      <c r="CO10">
        <f t="shared" si="51"/>
        <v>-0.4773999999999603</v>
      </c>
      <c r="CP10">
        <f t="shared" si="52"/>
        <v>1.8715999999999724</v>
      </c>
      <c r="CQ10">
        <f t="shared" si="53"/>
        <v>2.863599999999991</v>
      </c>
      <c r="CR10">
        <f t="shared" si="54"/>
        <v>-1.109000000000016</v>
      </c>
      <c r="CS10">
        <f t="shared" si="55"/>
        <v>-3.7527999999999793</v>
      </c>
      <c r="CT10">
        <f t="shared" si="56"/>
        <v>0.85979999999999279</v>
      </c>
      <c r="CU10">
        <f t="shared" si="57"/>
        <v>-1.4561999999999955</v>
      </c>
      <c r="CV10">
        <f t="shared" si="58"/>
        <v>-0.44930000000000092</v>
      </c>
      <c r="CW10">
        <f t="shared" si="59"/>
        <v>0.88270000000000115</v>
      </c>
      <c r="CX10">
        <f t="shared" si="60"/>
        <v>-1.8906000000000014</v>
      </c>
      <c r="CY10">
        <f t="shared" si="61"/>
        <v>-2.858500000000002</v>
      </c>
      <c r="CZ10">
        <f t="shared" si="62"/>
        <v>-1.0044000000000017</v>
      </c>
      <c r="DA10">
        <f t="shared" si="63"/>
        <v>-3.1636999999999968</v>
      </c>
      <c r="DB10">
        <f t="shared" si="64"/>
        <v>3.1522839999999972</v>
      </c>
      <c r="DC10">
        <f t="shared" si="65"/>
        <v>-1.4339000000000004</v>
      </c>
      <c r="DD10">
        <f t="shared" si="66"/>
        <v>-1.2467999999999995</v>
      </c>
      <c r="DE10">
        <f t="shared" si="67"/>
        <v>-1.2525999999999975</v>
      </c>
      <c r="DF10">
        <f t="shared" si="68"/>
        <v>4.1589999999999998</v>
      </c>
      <c r="DG10">
        <f t="shared" si="69"/>
        <v>-2.0396999999999981</v>
      </c>
      <c r="DH10">
        <f t="shared" si="70"/>
        <v>70.755999999999403</v>
      </c>
      <c r="DI10">
        <f t="shared" si="71"/>
        <v>34.126399999999649</v>
      </c>
      <c r="DJ10">
        <f t="shared" si="72"/>
        <v>-22.593599999999924</v>
      </c>
      <c r="DK10">
        <f t="shared" si="73"/>
        <v>42.078400000000215</v>
      </c>
      <c r="DL10">
        <f t="shared" si="74"/>
        <v>-9.1500000000000057</v>
      </c>
      <c r="DM10">
        <f t="shared" si="75"/>
        <v>1.8763999999999896</v>
      </c>
      <c r="DN10">
        <f t="shared" si="76"/>
        <v>-2.6786000000000012</v>
      </c>
      <c r="DO10">
        <f t="shared" si="77"/>
        <v>-11.615999999999993</v>
      </c>
      <c r="DP10">
        <f t="shared" si="78"/>
        <v>31.206400000000002</v>
      </c>
      <c r="DQ10">
        <f t="shared" si="79"/>
        <v>144.85639999999995</v>
      </c>
      <c r="DR10">
        <f t="shared" si="80"/>
        <v>-23.348799999999642</v>
      </c>
      <c r="DS10">
        <f t="shared" si="81"/>
        <v>46.278400000000602</v>
      </c>
      <c r="DT10">
        <f t="shared" si="82"/>
        <v>-0.3141000000000016</v>
      </c>
      <c r="DU10">
        <f t="shared" si="83"/>
        <v>-12.070200000000042</v>
      </c>
      <c r="DV10">
        <f t="shared" si="84"/>
        <v>49.700799999999958</v>
      </c>
      <c r="DW10">
        <f t="shared" si="85"/>
        <v>79.387999999999892</v>
      </c>
      <c r="DX10">
        <f t="shared" si="45"/>
        <v>-9.1988000000000021</v>
      </c>
      <c r="DY10">
        <f t="shared" si="46"/>
        <v>-0.18839999999999996</v>
      </c>
    </row>
    <row r="11" spans="1:129" x14ac:dyDescent="0.25">
      <c r="A11">
        <v>1989</v>
      </c>
      <c r="B11">
        <v>30.1</v>
      </c>
      <c r="C11">
        <v>27.7</v>
      </c>
      <c r="D11">
        <v>36.1</v>
      </c>
      <c r="E11">
        <v>44.9</v>
      </c>
      <c r="F11">
        <v>57.9</v>
      </c>
      <c r="G11">
        <v>66.900000000000006</v>
      </c>
      <c r="H11">
        <v>70.400000000000006</v>
      </c>
      <c r="I11">
        <v>69.2</v>
      </c>
      <c r="J11">
        <v>62.3</v>
      </c>
      <c r="K11">
        <v>51.8</v>
      </c>
      <c r="L11">
        <v>40.1</v>
      </c>
      <c r="M11">
        <v>17.899999999999999</v>
      </c>
      <c r="N11">
        <v>1.7</v>
      </c>
      <c r="O11">
        <v>2.64</v>
      </c>
      <c r="P11">
        <v>3.42</v>
      </c>
      <c r="Q11">
        <v>4.17</v>
      </c>
      <c r="R11">
        <v>9.51</v>
      </c>
      <c r="S11">
        <v>6.37</v>
      </c>
      <c r="T11">
        <v>4.59</v>
      </c>
      <c r="U11">
        <v>6.79</v>
      </c>
      <c r="V11">
        <v>4.6100000000000003</v>
      </c>
      <c r="W11">
        <v>8.15</v>
      </c>
      <c r="X11">
        <v>4.3499999999999996</v>
      </c>
      <c r="Y11">
        <v>1.25</v>
      </c>
      <c r="Z11">
        <v>1057</v>
      </c>
      <c r="AA11">
        <v>1025</v>
      </c>
      <c r="AB11">
        <v>879</v>
      </c>
      <c r="AC11">
        <v>586</v>
      </c>
      <c r="AD11">
        <v>223</v>
      </c>
      <c r="AE11">
        <v>25</v>
      </c>
      <c r="AF11">
        <v>4</v>
      </c>
      <c r="AG11">
        <v>11</v>
      </c>
      <c r="AH11">
        <v>95</v>
      </c>
      <c r="AI11">
        <v>390</v>
      </c>
      <c r="AJ11">
        <v>726</v>
      </c>
      <c r="AK11">
        <v>1427</v>
      </c>
      <c r="AL11">
        <v>10</v>
      </c>
      <c r="AM11">
        <v>93</v>
      </c>
      <c r="AN11">
        <v>185</v>
      </c>
      <c r="AO11">
        <v>156</v>
      </c>
      <c r="AP11">
        <v>33</v>
      </c>
      <c r="AQ11">
        <v>0</v>
      </c>
      <c r="AS11">
        <f t="shared" si="3"/>
        <v>25.439200000000014</v>
      </c>
      <c r="AT11">
        <f t="shared" si="4"/>
        <v>28.915300000000013</v>
      </c>
      <c r="AU11">
        <f t="shared" si="5"/>
        <v>36.447800000000022</v>
      </c>
      <c r="AV11">
        <f t="shared" si="6"/>
        <v>47.21750000000003</v>
      </c>
      <c r="AW11">
        <f t="shared" si="7"/>
        <v>57.406600000000005</v>
      </c>
      <c r="AX11">
        <f t="shared" si="8"/>
        <v>65.922199999999961</v>
      </c>
      <c r="AY11">
        <f t="shared" si="9"/>
        <v>71.286700000000025</v>
      </c>
      <c r="AZ11">
        <f t="shared" si="10"/>
        <v>69.585700000000017</v>
      </c>
      <c r="BA11">
        <f t="shared" si="11"/>
        <v>61.624000000000017</v>
      </c>
      <c r="BB11">
        <f t="shared" si="12"/>
        <v>50.461899999999979</v>
      </c>
      <c r="BC11">
        <f t="shared" si="13"/>
        <v>41.193100000000008</v>
      </c>
      <c r="BD11">
        <f t="shared" si="14"/>
        <v>30.670599999999997</v>
      </c>
      <c r="BE11">
        <f t="shared" si="15"/>
        <v>3.5427000000000008</v>
      </c>
      <c r="BF11">
        <f t="shared" si="16"/>
        <v>3.1203999999999987</v>
      </c>
      <c r="BG11">
        <f t="shared" si="17"/>
        <v>4.8030000000000017</v>
      </c>
      <c r="BH11">
        <f t="shared" si="18"/>
        <v>5.2208000000000023</v>
      </c>
      <c r="BI11">
        <f t="shared" si="19"/>
        <v>4.6345000000000018</v>
      </c>
      <c r="BJ11">
        <f t="shared" si="20"/>
        <v>4.2613999999999965</v>
      </c>
      <c r="BK11">
        <f t="shared" si="21"/>
        <v>4.1477180000000029</v>
      </c>
      <c r="BL11">
        <f t="shared" si="22"/>
        <v>4.0244000000000009</v>
      </c>
      <c r="BM11">
        <f t="shared" si="23"/>
        <v>3.7877999999999994</v>
      </c>
      <c r="BN11">
        <f t="shared" si="24"/>
        <v>4.2835999999999972</v>
      </c>
      <c r="BO11">
        <f t="shared" si="25"/>
        <v>4.7554000000000007</v>
      </c>
      <c r="BP11">
        <f t="shared" si="26"/>
        <v>3.6277999999999979</v>
      </c>
      <c r="BQ11">
        <f t="shared" si="27"/>
        <v>1224.2745000000007</v>
      </c>
      <c r="BR11">
        <f t="shared" si="28"/>
        <v>968.1003000000004</v>
      </c>
      <c r="BS11">
        <f t="shared" si="29"/>
        <v>867.13529999999992</v>
      </c>
      <c r="BT11">
        <f t="shared" si="30"/>
        <v>525.32929999999976</v>
      </c>
      <c r="BU11">
        <f t="shared" si="31"/>
        <v>239.18</v>
      </c>
      <c r="BV11">
        <f t="shared" si="32"/>
        <v>39.551300000000012</v>
      </c>
      <c r="BW11">
        <f t="shared" si="33"/>
        <v>2.6391000000000013</v>
      </c>
      <c r="BX11">
        <f t="shared" si="34"/>
        <v>11.359499999999992</v>
      </c>
      <c r="BY11">
        <f t="shared" si="35"/>
        <v>104.3428</v>
      </c>
      <c r="BZ11">
        <f t="shared" si="36"/>
        <v>403.60780000000005</v>
      </c>
      <c r="CA11">
        <f t="shared" si="37"/>
        <v>692.8398999999996</v>
      </c>
      <c r="CB11">
        <f t="shared" si="38"/>
        <v>1038.1992999999993</v>
      </c>
      <c r="CC11">
        <f t="shared" si="39"/>
        <v>9.6042000000000023</v>
      </c>
      <c r="CD11">
        <f t="shared" si="40"/>
        <v>79.810100000000048</v>
      </c>
      <c r="CE11">
        <f t="shared" si="41"/>
        <v>214.03910000000005</v>
      </c>
      <c r="CF11">
        <f t="shared" si="42"/>
        <v>169.31100000000012</v>
      </c>
      <c r="CG11">
        <f t="shared" si="43"/>
        <v>27.652900000000002</v>
      </c>
      <c r="CH11">
        <f t="shared" si="44"/>
        <v>0.27719999999999995</v>
      </c>
      <c r="CJ11">
        <f t="shared" si="2"/>
        <v>4.6607999999999876</v>
      </c>
      <c r="CK11">
        <f t="shared" si="47"/>
        <v>-1.2153000000000134</v>
      </c>
      <c r="CL11">
        <f t="shared" si="48"/>
        <v>-0.34780000000002076</v>
      </c>
      <c r="CM11">
        <f t="shared" si="49"/>
        <v>-2.317500000000031</v>
      </c>
      <c r="CN11">
        <f t="shared" si="50"/>
        <v>0.49339999999999407</v>
      </c>
      <c r="CO11">
        <f t="shared" si="51"/>
        <v>0.97780000000004463</v>
      </c>
      <c r="CP11">
        <f t="shared" si="52"/>
        <v>-0.88670000000001892</v>
      </c>
      <c r="CQ11">
        <f t="shared" si="53"/>
        <v>-0.38570000000001414</v>
      </c>
      <c r="CR11">
        <f t="shared" si="54"/>
        <v>0.67599999999998062</v>
      </c>
      <c r="CS11">
        <f t="shared" si="55"/>
        <v>1.3381000000000185</v>
      </c>
      <c r="CT11">
        <f t="shared" si="56"/>
        <v>-1.0931000000000068</v>
      </c>
      <c r="CU11">
        <f t="shared" si="57"/>
        <v>-12.770599999999998</v>
      </c>
      <c r="CV11">
        <f t="shared" si="58"/>
        <v>-1.8427000000000009</v>
      </c>
      <c r="CW11">
        <f t="shared" si="59"/>
        <v>-0.48039999999999861</v>
      </c>
      <c r="CX11">
        <f t="shared" si="60"/>
        <v>-1.3830000000000018</v>
      </c>
      <c r="CY11">
        <f t="shared" si="61"/>
        <v>-1.0508000000000024</v>
      </c>
      <c r="CZ11">
        <f t="shared" si="62"/>
        <v>4.8754999999999979</v>
      </c>
      <c r="DA11">
        <f t="shared" si="63"/>
        <v>2.1086000000000036</v>
      </c>
      <c r="DB11">
        <f t="shared" si="64"/>
        <v>0.44228199999999696</v>
      </c>
      <c r="DC11">
        <f t="shared" si="65"/>
        <v>2.7655999999999992</v>
      </c>
      <c r="DD11">
        <f t="shared" si="66"/>
        <v>0.82220000000000093</v>
      </c>
      <c r="DE11">
        <f t="shared" si="67"/>
        <v>3.8664000000000032</v>
      </c>
      <c r="DF11">
        <f t="shared" si="68"/>
        <v>-0.40540000000000109</v>
      </c>
      <c r="DG11">
        <f t="shared" si="69"/>
        <v>-2.3777999999999979</v>
      </c>
      <c r="DH11">
        <f t="shared" si="70"/>
        <v>-167.27450000000067</v>
      </c>
      <c r="DI11">
        <f t="shared" si="71"/>
        <v>56.899699999999598</v>
      </c>
      <c r="DJ11">
        <f t="shared" si="72"/>
        <v>11.864700000000084</v>
      </c>
      <c r="DK11">
        <f t="shared" si="73"/>
        <v>60.670700000000238</v>
      </c>
      <c r="DL11">
        <f t="shared" si="74"/>
        <v>-16.180000000000007</v>
      </c>
      <c r="DM11">
        <f t="shared" si="75"/>
        <v>-14.551300000000012</v>
      </c>
      <c r="DN11">
        <f t="shared" si="76"/>
        <v>1.3608999999999987</v>
      </c>
      <c r="DO11">
        <f t="shared" si="77"/>
        <v>-0.35949999999999172</v>
      </c>
      <c r="DP11">
        <f t="shared" si="78"/>
        <v>-9.3427999999999969</v>
      </c>
      <c r="DQ11">
        <f t="shared" si="79"/>
        <v>-13.607800000000054</v>
      </c>
      <c r="DR11">
        <f t="shared" si="80"/>
        <v>33.160100000000398</v>
      </c>
      <c r="DS11">
        <f t="shared" si="81"/>
        <v>388.80070000000069</v>
      </c>
      <c r="DT11">
        <f t="shared" si="82"/>
        <v>0.39579999999999771</v>
      </c>
      <c r="DU11">
        <f t="shared" si="83"/>
        <v>13.189899999999952</v>
      </c>
      <c r="DV11">
        <f t="shared" si="84"/>
        <v>-29.039100000000047</v>
      </c>
      <c r="DW11">
        <f t="shared" si="85"/>
        <v>-13.311000000000121</v>
      </c>
      <c r="DX11">
        <f t="shared" si="45"/>
        <v>5.3470999999999975</v>
      </c>
      <c r="DY11">
        <f t="shared" si="46"/>
        <v>-0.27719999999999995</v>
      </c>
    </row>
    <row r="12" spans="1:129" x14ac:dyDescent="0.25">
      <c r="A12">
        <v>1990</v>
      </c>
      <c r="B12">
        <v>34.299999999999997</v>
      </c>
      <c r="C12">
        <v>32.6</v>
      </c>
      <c r="D12">
        <v>38.6</v>
      </c>
      <c r="E12">
        <v>47.2</v>
      </c>
      <c r="F12">
        <v>54.6</v>
      </c>
      <c r="G12">
        <v>66.5</v>
      </c>
      <c r="H12">
        <v>71.5</v>
      </c>
      <c r="I12">
        <v>70.5</v>
      </c>
      <c r="J12">
        <v>61.3</v>
      </c>
      <c r="K12">
        <v>55.9</v>
      </c>
      <c r="L12">
        <v>43.5</v>
      </c>
      <c r="M12">
        <v>36.299999999999997</v>
      </c>
      <c r="N12">
        <v>4.9000000000000004</v>
      </c>
      <c r="O12">
        <v>3.29</v>
      </c>
      <c r="P12">
        <v>2.73</v>
      </c>
      <c r="Q12">
        <v>4.88</v>
      </c>
      <c r="R12">
        <v>7.51</v>
      </c>
      <c r="S12">
        <v>2.31</v>
      </c>
      <c r="T12">
        <v>3.38</v>
      </c>
      <c r="U12">
        <v>8.09</v>
      </c>
      <c r="V12">
        <v>2.02</v>
      </c>
      <c r="W12">
        <v>7.86</v>
      </c>
      <c r="X12">
        <v>3.02</v>
      </c>
      <c r="Y12">
        <v>5.69</v>
      </c>
      <c r="Z12">
        <v>932</v>
      </c>
      <c r="AA12">
        <v>888</v>
      </c>
      <c r="AB12">
        <v>801</v>
      </c>
      <c r="AC12">
        <v>524</v>
      </c>
      <c r="AD12">
        <v>315</v>
      </c>
      <c r="AE12">
        <v>29</v>
      </c>
      <c r="AF12">
        <v>0</v>
      </c>
      <c r="AG12">
        <v>5</v>
      </c>
      <c r="AH12">
        <v>116</v>
      </c>
      <c r="AI12">
        <v>270</v>
      </c>
      <c r="AJ12">
        <v>628</v>
      </c>
      <c r="AK12">
        <v>866</v>
      </c>
      <c r="AL12">
        <v>0</v>
      </c>
      <c r="AM12">
        <v>85</v>
      </c>
      <c r="AN12">
        <v>217</v>
      </c>
      <c r="AO12">
        <v>195</v>
      </c>
      <c r="AP12">
        <v>23</v>
      </c>
      <c r="AQ12">
        <v>7</v>
      </c>
      <c r="AS12">
        <f t="shared" si="3"/>
        <v>25.530000000000015</v>
      </c>
      <c r="AT12">
        <f t="shared" si="4"/>
        <v>28.933000000000014</v>
      </c>
      <c r="AU12">
        <f t="shared" si="5"/>
        <v>36.468000000000025</v>
      </c>
      <c r="AV12">
        <f t="shared" si="6"/>
        <v>47.248000000000033</v>
      </c>
      <c r="AW12">
        <f t="shared" si="7"/>
        <v>57.455000000000005</v>
      </c>
      <c r="AX12">
        <f t="shared" si="8"/>
        <v>65.966999999999956</v>
      </c>
      <c r="AY12">
        <f t="shared" si="9"/>
        <v>71.345000000000027</v>
      </c>
      <c r="AZ12">
        <f t="shared" si="10"/>
        <v>69.635000000000019</v>
      </c>
      <c r="BA12">
        <f t="shared" si="11"/>
        <v>61.739000000000019</v>
      </c>
      <c r="BB12">
        <f t="shared" si="12"/>
        <v>50.570999999999977</v>
      </c>
      <c r="BC12">
        <f t="shared" si="13"/>
        <v>41.246000000000009</v>
      </c>
      <c r="BD12">
        <f t="shared" si="14"/>
        <v>30.784999999999997</v>
      </c>
      <c r="BE12">
        <f t="shared" si="15"/>
        <v>3.5461000000000009</v>
      </c>
      <c r="BF12">
        <f t="shared" si="16"/>
        <v>3.1234999999999986</v>
      </c>
      <c r="BG12">
        <f t="shared" si="17"/>
        <v>4.8254000000000019</v>
      </c>
      <c r="BH12">
        <f t="shared" si="18"/>
        <v>5.2531000000000025</v>
      </c>
      <c r="BI12">
        <f t="shared" si="19"/>
        <v>4.6546000000000021</v>
      </c>
      <c r="BJ12">
        <f t="shared" si="20"/>
        <v>4.2790999999999961</v>
      </c>
      <c r="BK12">
        <f t="shared" si="21"/>
        <v>4.1477200000000032</v>
      </c>
      <c r="BL12">
        <f t="shared" si="22"/>
        <v>4.0349000000000013</v>
      </c>
      <c r="BM12">
        <f t="shared" si="23"/>
        <v>3.8087999999999993</v>
      </c>
      <c r="BN12">
        <f t="shared" si="24"/>
        <v>4.3145999999999969</v>
      </c>
      <c r="BO12">
        <f t="shared" si="25"/>
        <v>4.6898000000000009</v>
      </c>
      <c r="BP12">
        <f t="shared" si="26"/>
        <v>3.6558999999999977</v>
      </c>
      <c r="BQ12">
        <f t="shared" si="27"/>
        <v>1224.3050000000007</v>
      </c>
      <c r="BR12">
        <f t="shared" si="28"/>
        <v>965.32700000000045</v>
      </c>
      <c r="BS12">
        <f t="shared" si="29"/>
        <v>866.67699999999991</v>
      </c>
      <c r="BT12">
        <f t="shared" si="30"/>
        <v>524.73699999999974</v>
      </c>
      <c r="BU12">
        <f t="shared" si="31"/>
        <v>238.21</v>
      </c>
      <c r="BV12">
        <f t="shared" si="32"/>
        <v>38.979000000000013</v>
      </c>
      <c r="BW12">
        <f t="shared" si="33"/>
        <v>2.5996000000000015</v>
      </c>
      <c r="BX12">
        <f t="shared" si="34"/>
        <v>11.102999999999991</v>
      </c>
      <c r="BY12">
        <f t="shared" si="35"/>
        <v>102.892</v>
      </c>
      <c r="BZ12">
        <f t="shared" si="36"/>
        <v>402.07200000000006</v>
      </c>
      <c r="CA12">
        <f t="shared" si="37"/>
        <v>691.33099999999956</v>
      </c>
      <c r="CB12">
        <f t="shared" si="38"/>
        <v>1034.6769999999992</v>
      </c>
      <c r="CC12">
        <f t="shared" si="39"/>
        <v>9.894300000000003</v>
      </c>
      <c r="CD12">
        <f t="shared" si="40"/>
        <v>80.550000000000054</v>
      </c>
      <c r="CE12">
        <f t="shared" si="41"/>
        <v>215.77900000000005</v>
      </c>
      <c r="CF12">
        <f t="shared" si="42"/>
        <v>171.01000000000013</v>
      </c>
      <c r="CG12">
        <f t="shared" si="43"/>
        <v>29.107000000000003</v>
      </c>
      <c r="CH12">
        <f t="shared" si="44"/>
        <v>0.36599999999999994</v>
      </c>
      <c r="CJ12">
        <f t="shared" si="2"/>
        <v>8.7699999999999818</v>
      </c>
      <c r="CK12">
        <f t="shared" si="47"/>
        <v>3.6669999999999874</v>
      </c>
      <c r="CL12">
        <f t="shared" si="48"/>
        <v>2.1319999999999766</v>
      </c>
      <c r="CM12">
        <f t="shared" si="49"/>
        <v>-4.8000000000030241E-2</v>
      </c>
      <c r="CN12">
        <f t="shared" si="50"/>
        <v>-2.855000000000004</v>
      </c>
      <c r="CO12">
        <f t="shared" si="51"/>
        <v>0.53300000000004388</v>
      </c>
      <c r="CP12">
        <f t="shared" si="52"/>
        <v>0.15499999999997272</v>
      </c>
      <c r="CQ12">
        <f t="shared" si="53"/>
        <v>0.86499999999998067</v>
      </c>
      <c r="CR12">
        <f t="shared" si="54"/>
        <v>-0.43900000000002137</v>
      </c>
      <c r="CS12">
        <f t="shared" si="55"/>
        <v>5.3290000000000219</v>
      </c>
      <c r="CT12">
        <f t="shared" si="56"/>
        <v>2.2539999999999907</v>
      </c>
      <c r="CU12">
        <f t="shared" si="57"/>
        <v>5.5150000000000006</v>
      </c>
      <c r="CV12">
        <f t="shared" si="58"/>
        <v>1.3538999999999994</v>
      </c>
      <c r="CW12">
        <f t="shared" si="59"/>
        <v>0.16650000000000142</v>
      </c>
      <c r="CX12">
        <f t="shared" si="60"/>
        <v>-2.0954000000000019</v>
      </c>
      <c r="CY12">
        <f t="shared" si="61"/>
        <v>-0.37310000000000265</v>
      </c>
      <c r="CZ12">
        <f t="shared" si="62"/>
        <v>2.8553999999999977</v>
      </c>
      <c r="DA12">
        <f t="shared" si="63"/>
        <v>-1.9690999999999961</v>
      </c>
      <c r="DB12">
        <f t="shared" si="64"/>
        <v>-0.76772000000000329</v>
      </c>
      <c r="DC12">
        <f t="shared" si="65"/>
        <v>4.0550999999999986</v>
      </c>
      <c r="DD12">
        <f t="shared" si="66"/>
        <v>-1.7887999999999993</v>
      </c>
      <c r="DE12">
        <f t="shared" si="67"/>
        <v>3.5454000000000034</v>
      </c>
      <c r="DF12">
        <f t="shared" si="68"/>
        <v>-1.6698000000000008</v>
      </c>
      <c r="DG12">
        <f t="shared" si="69"/>
        <v>2.0341000000000027</v>
      </c>
      <c r="DH12">
        <f t="shared" si="70"/>
        <v>-292.30500000000075</v>
      </c>
      <c r="DI12">
        <f t="shared" si="71"/>
        <v>-77.327000000000453</v>
      </c>
      <c r="DJ12">
        <f t="shared" si="72"/>
        <v>-65.676999999999907</v>
      </c>
      <c r="DK12">
        <f t="shared" si="73"/>
        <v>-0.73699999999973898</v>
      </c>
      <c r="DL12">
        <f t="shared" si="74"/>
        <v>76.789999999999992</v>
      </c>
      <c r="DM12">
        <f t="shared" si="75"/>
        <v>-9.9790000000000134</v>
      </c>
      <c r="DN12">
        <f t="shared" si="76"/>
        <v>-2.5996000000000015</v>
      </c>
      <c r="DO12">
        <f t="shared" si="77"/>
        <v>-6.1029999999999909</v>
      </c>
      <c r="DP12">
        <f t="shared" si="78"/>
        <v>13.108000000000004</v>
      </c>
      <c r="DQ12">
        <f t="shared" si="79"/>
        <v>-132.07200000000006</v>
      </c>
      <c r="DR12">
        <f t="shared" si="80"/>
        <v>-63.330999999999563</v>
      </c>
      <c r="DS12">
        <f t="shared" si="81"/>
        <v>-168.67699999999923</v>
      </c>
      <c r="DT12">
        <f t="shared" si="82"/>
        <v>-9.894300000000003</v>
      </c>
      <c r="DU12">
        <f t="shared" si="83"/>
        <v>4.449999999999946</v>
      </c>
      <c r="DV12">
        <f t="shared" si="84"/>
        <v>1.2209999999999468</v>
      </c>
      <c r="DW12">
        <f t="shared" si="85"/>
        <v>23.989999999999867</v>
      </c>
      <c r="DX12">
        <f t="shared" si="45"/>
        <v>-6.1070000000000029</v>
      </c>
      <c r="DY12">
        <f t="shared" si="46"/>
        <v>6.6340000000000003</v>
      </c>
    </row>
    <row r="13" spans="1:129" x14ac:dyDescent="0.25">
      <c r="A13">
        <v>1991</v>
      </c>
      <c r="B13">
        <v>26.7</v>
      </c>
      <c r="C13">
        <v>32.9</v>
      </c>
      <c r="D13">
        <v>39.4</v>
      </c>
      <c r="E13">
        <v>50.6</v>
      </c>
      <c r="F13">
        <v>62.6</v>
      </c>
      <c r="G13">
        <v>68</v>
      </c>
      <c r="H13">
        <v>71.599999999999994</v>
      </c>
      <c r="I13">
        <v>70.7</v>
      </c>
      <c r="J13">
        <v>60.8</v>
      </c>
      <c r="K13">
        <v>53</v>
      </c>
      <c r="L13">
        <v>42.1</v>
      </c>
      <c r="M13">
        <v>33.1</v>
      </c>
      <c r="N13">
        <v>2.85</v>
      </c>
      <c r="O13">
        <v>2</v>
      </c>
      <c r="P13">
        <v>5.07</v>
      </c>
      <c r="Q13">
        <v>3.05</v>
      </c>
      <c r="R13">
        <v>4.88</v>
      </c>
      <c r="S13">
        <v>1.71</v>
      </c>
      <c r="T13">
        <v>3.14</v>
      </c>
      <c r="U13">
        <v>8.34</v>
      </c>
      <c r="V13">
        <v>6.04</v>
      </c>
      <c r="W13">
        <v>3.04</v>
      </c>
      <c r="X13">
        <v>4.1900000000000004</v>
      </c>
      <c r="Y13">
        <v>3.46</v>
      </c>
      <c r="Z13">
        <v>1158</v>
      </c>
      <c r="AA13">
        <v>877</v>
      </c>
      <c r="AB13">
        <v>777</v>
      </c>
      <c r="AC13">
        <v>423</v>
      </c>
      <c r="AD13">
        <v>113</v>
      </c>
      <c r="AE13">
        <v>16</v>
      </c>
      <c r="AF13">
        <v>1</v>
      </c>
      <c r="AG13">
        <v>5</v>
      </c>
      <c r="AH13">
        <v>127</v>
      </c>
      <c r="AI13">
        <v>354</v>
      </c>
      <c r="AJ13">
        <v>667</v>
      </c>
      <c r="AK13">
        <v>962</v>
      </c>
      <c r="AL13">
        <v>45</v>
      </c>
      <c r="AM13">
        <v>119</v>
      </c>
      <c r="AN13">
        <v>226</v>
      </c>
      <c r="AO13">
        <v>201</v>
      </c>
      <c r="AP13">
        <v>19</v>
      </c>
      <c r="AQ13">
        <v>0</v>
      </c>
      <c r="AS13">
        <f t="shared" si="3"/>
        <v>25.620800000000017</v>
      </c>
      <c r="AT13">
        <f t="shared" si="4"/>
        <v>28.950700000000015</v>
      </c>
      <c r="AU13">
        <f t="shared" si="5"/>
        <v>36.488200000000028</v>
      </c>
      <c r="AV13">
        <f t="shared" si="6"/>
        <v>47.278500000000037</v>
      </c>
      <c r="AW13">
        <f t="shared" si="7"/>
        <v>57.503400000000006</v>
      </c>
      <c r="AX13">
        <f t="shared" si="8"/>
        <v>66.011799999999951</v>
      </c>
      <c r="AY13">
        <f t="shared" si="9"/>
        <v>71.40330000000003</v>
      </c>
      <c r="AZ13">
        <f t="shared" si="10"/>
        <v>69.684300000000022</v>
      </c>
      <c r="BA13">
        <f t="shared" si="11"/>
        <v>61.854000000000021</v>
      </c>
      <c r="BB13">
        <f t="shared" si="12"/>
        <v>50.680099999999975</v>
      </c>
      <c r="BC13">
        <f t="shared" si="13"/>
        <v>41.29890000000001</v>
      </c>
      <c r="BD13">
        <f t="shared" si="14"/>
        <v>30.899399999999996</v>
      </c>
      <c r="BE13">
        <f t="shared" si="15"/>
        <v>3.549500000000001</v>
      </c>
      <c r="BF13">
        <f t="shared" si="16"/>
        <v>3.1265999999999985</v>
      </c>
      <c r="BG13">
        <f t="shared" si="17"/>
        <v>4.8478000000000021</v>
      </c>
      <c r="BH13">
        <f t="shared" si="18"/>
        <v>5.2854000000000028</v>
      </c>
      <c r="BI13">
        <f t="shared" si="19"/>
        <v>4.6747000000000023</v>
      </c>
      <c r="BJ13">
        <f t="shared" si="20"/>
        <v>4.2967999999999957</v>
      </c>
      <c r="BK13">
        <f t="shared" si="21"/>
        <v>4.1477220000000035</v>
      </c>
      <c r="BL13">
        <f t="shared" si="22"/>
        <v>4.0454000000000017</v>
      </c>
      <c r="BM13">
        <f t="shared" si="23"/>
        <v>3.8297999999999992</v>
      </c>
      <c r="BN13">
        <f t="shared" si="24"/>
        <v>4.3455999999999966</v>
      </c>
      <c r="BO13">
        <f t="shared" si="25"/>
        <v>4.624200000000001</v>
      </c>
      <c r="BP13">
        <f t="shared" si="26"/>
        <v>3.6839999999999975</v>
      </c>
      <c r="BQ13">
        <f t="shared" si="27"/>
        <v>1224.3355000000008</v>
      </c>
      <c r="BR13">
        <f t="shared" si="28"/>
        <v>962.5537000000005</v>
      </c>
      <c r="BS13">
        <f t="shared" si="29"/>
        <v>866.2186999999999</v>
      </c>
      <c r="BT13">
        <f t="shared" si="30"/>
        <v>524.14469999999972</v>
      </c>
      <c r="BU13">
        <f t="shared" si="31"/>
        <v>237.24</v>
      </c>
      <c r="BV13">
        <f t="shared" si="32"/>
        <v>38.406700000000015</v>
      </c>
      <c r="BW13">
        <f t="shared" si="33"/>
        <v>2.5601000000000016</v>
      </c>
      <c r="BX13">
        <f t="shared" si="34"/>
        <v>10.84649999999999</v>
      </c>
      <c r="BY13">
        <f t="shared" si="35"/>
        <v>101.44119999999999</v>
      </c>
      <c r="BZ13">
        <f t="shared" si="36"/>
        <v>400.53620000000006</v>
      </c>
      <c r="CA13">
        <f t="shared" si="37"/>
        <v>689.82209999999952</v>
      </c>
      <c r="CB13">
        <f t="shared" si="38"/>
        <v>1031.1546999999991</v>
      </c>
      <c r="CC13">
        <f t="shared" si="39"/>
        <v>10.184400000000004</v>
      </c>
      <c r="CD13">
        <f t="shared" si="40"/>
        <v>81.28990000000006</v>
      </c>
      <c r="CE13">
        <f t="shared" si="41"/>
        <v>217.51890000000006</v>
      </c>
      <c r="CF13">
        <f t="shared" si="42"/>
        <v>172.70900000000015</v>
      </c>
      <c r="CG13">
        <f t="shared" si="43"/>
        <v>30.561100000000003</v>
      </c>
      <c r="CH13">
        <f t="shared" si="44"/>
        <v>0.45479999999999993</v>
      </c>
      <c r="CJ13">
        <f t="shared" si="2"/>
        <v>1.0791999999999824</v>
      </c>
      <c r="CK13">
        <f t="shared" si="47"/>
        <v>3.9492999999999832</v>
      </c>
      <c r="CL13">
        <f t="shared" si="48"/>
        <v>2.9117999999999711</v>
      </c>
      <c r="CM13">
        <f t="shared" si="49"/>
        <v>3.3214999999999648</v>
      </c>
      <c r="CN13">
        <f t="shared" si="50"/>
        <v>5.0965999999999951</v>
      </c>
      <c r="CO13">
        <f t="shared" si="51"/>
        <v>1.9882000000000488</v>
      </c>
      <c r="CP13">
        <f t="shared" si="52"/>
        <v>0.19669999999996435</v>
      </c>
      <c r="CQ13">
        <f t="shared" si="53"/>
        <v>1.0156999999999812</v>
      </c>
      <c r="CR13">
        <f t="shared" si="54"/>
        <v>-1.0540000000000234</v>
      </c>
      <c r="CS13">
        <f t="shared" si="55"/>
        <v>2.3199000000000254</v>
      </c>
      <c r="CT13">
        <f t="shared" si="56"/>
        <v>0.80109999999999104</v>
      </c>
      <c r="CU13">
        <f t="shared" si="57"/>
        <v>2.200600000000005</v>
      </c>
      <c r="CV13">
        <f t="shared" si="58"/>
        <v>-0.6995000000000009</v>
      </c>
      <c r="CW13">
        <f t="shared" si="59"/>
        <v>-1.1265999999999985</v>
      </c>
      <c r="CX13">
        <f t="shared" si="60"/>
        <v>0.22219999999999818</v>
      </c>
      <c r="CY13">
        <f t="shared" si="61"/>
        <v>-2.2354000000000029</v>
      </c>
      <c r="CZ13">
        <f t="shared" si="62"/>
        <v>0.2052999999999976</v>
      </c>
      <c r="DA13">
        <f t="shared" si="63"/>
        <v>-2.5867999999999958</v>
      </c>
      <c r="DB13">
        <f t="shared" si="64"/>
        <v>-1.0077220000000033</v>
      </c>
      <c r="DC13">
        <f t="shared" si="65"/>
        <v>4.2945999999999982</v>
      </c>
      <c r="DD13">
        <f t="shared" si="66"/>
        <v>2.2102000000000008</v>
      </c>
      <c r="DE13">
        <f t="shared" si="67"/>
        <v>-1.3055999999999965</v>
      </c>
      <c r="DF13">
        <f t="shared" si="68"/>
        <v>-0.43420000000000059</v>
      </c>
      <c r="DG13">
        <f t="shared" si="69"/>
        <v>-0.22399999999999753</v>
      </c>
      <c r="DH13">
        <f t="shared" si="70"/>
        <v>-66.33550000000082</v>
      </c>
      <c r="DI13">
        <f t="shared" si="71"/>
        <v>-85.553700000000504</v>
      </c>
      <c r="DJ13">
        <f t="shared" si="72"/>
        <v>-89.218699999999899</v>
      </c>
      <c r="DK13">
        <f t="shared" si="73"/>
        <v>-101.14469999999972</v>
      </c>
      <c r="DL13">
        <f t="shared" si="74"/>
        <v>-124.24000000000001</v>
      </c>
      <c r="DM13">
        <f t="shared" si="75"/>
        <v>-22.406700000000015</v>
      </c>
      <c r="DN13">
        <f t="shared" si="76"/>
        <v>-1.5601000000000016</v>
      </c>
      <c r="DO13">
        <f t="shared" si="77"/>
        <v>-5.84649999999999</v>
      </c>
      <c r="DP13">
        <f t="shared" si="78"/>
        <v>25.558800000000005</v>
      </c>
      <c r="DQ13">
        <f t="shared" si="79"/>
        <v>-46.536200000000065</v>
      </c>
      <c r="DR13">
        <f t="shared" si="80"/>
        <v>-22.822099999999523</v>
      </c>
      <c r="DS13">
        <f t="shared" si="81"/>
        <v>-69.154699999999139</v>
      </c>
      <c r="DT13">
        <f t="shared" si="82"/>
        <v>34.815599999999996</v>
      </c>
      <c r="DU13">
        <f t="shared" si="83"/>
        <v>37.71009999999994</v>
      </c>
      <c r="DV13">
        <f t="shared" si="84"/>
        <v>8.481099999999941</v>
      </c>
      <c r="DW13">
        <f t="shared" si="85"/>
        <v>28.290999999999855</v>
      </c>
      <c r="DX13">
        <f t="shared" si="45"/>
        <v>-11.561100000000003</v>
      </c>
      <c r="DY13">
        <f t="shared" si="46"/>
        <v>-0.45479999999999993</v>
      </c>
    </row>
    <row r="14" spans="1:129" x14ac:dyDescent="0.25">
      <c r="A14">
        <v>1992</v>
      </c>
      <c r="B14">
        <v>28.3</v>
      </c>
      <c r="C14">
        <v>29.8</v>
      </c>
      <c r="D14">
        <v>33.6</v>
      </c>
      <c r="E14">
        <v>44.3</v>
      </c>
      <c r="F14">
        <v>56.6</v>
      </c>
      <c r="G14">
        <v>64.3</v>
      </c>
      <c r="H14">
        <v>68.400000000000006</v>
      </c>
      <c r="I14">
        <v>67.099999999999994</v>
      </c>
      <c r="J14">
        <v>61.2</v>
      </c>
      <c r="K14">
        <v>48.1</v>
      </c>
      <c r="L14">
        <v>39.700000000000003</v>
      </c>
      <c r="M14">
        <v>30.8</v>
      </c>
      <c r="N14">
        <v>2.69</v>
      </c>
      <c r="O14">
        <v>2.11</v>
      </c>
      <c r="P14">
        <v>4.32</v>
      </c>
      <c r="Q14">
        <v>2.76</v>
      </c>
      <c r="R14">
        <v>1.75</v>
      </c>
      <c r="S14">
        <v>6.88</v>
      </c>
      <c r="T14">
        <v>4.6100000000000003</v>
      </c>
      <c r="U14">
        <v>6.14</v>
      </c>
      <c r="V14">
        <v>3.52</v>
      </c>
      <c r="W14">
        <v>2.35</v>
      </c>
      <c r="X14">
        <v>6.04</v>
      </c>
      <c r="Y14">
        <v>5.62</v>
      </c>
      <c r="Z14">
        <v>1111</v>
      </c>
      <c r="AA14">
        <v>962</v>
      </c>
      <c r="AB14">
        <v>950</v>
      </c>
      <c r="AC14">
        <v>611</v>
      </c>
      <c r="AD14">
        <v>261</v>
      </c>
      <c r="AE14">
        <v>57</v>
      </c>
      <c r="AF14">
        <v>13</v>
      </c>
      <c r="AG14">
        <v>25</v>
      </c>
      <c r="AH14">
        <v>121</v>
      </c>
      <c r="AI14">
        <v>502</v>
      </c>
      <c r="AJ14">
        <v>738</v>
      </c>
      <c r="AK14">
        <v>1030</v>
      </c>
      <c r="AL14">
        <v>7</v>
      </c>
      <c r="AM14">
        <v>51</v>
      </c>
      <c r="AN14">
        <v>134</v>
      </c>
      <c r="AO14">
        <v>109</v>
      </c>
      <c r="AP14">
        <v>21</v>
      </c>
      <c r="AQ14">
        <v>0</v>
      </c>
      <c r="AS14">
        <f t="shared" si="3"/>
        <v>25.711600000000018</v>
      </c>
      <c r="AT14">
        <f t="shared" si="4"/>
        <v>28.968400000000017</v>
      </c>
      <c r="AU14">
        <f t="shared" si="5"/>
        <v>36.50840000000003</v>
      </c>
      <c r="AV14">
        <f t="shared" si="6"/>
        <v>47.30900000000004</v>
      </c>
      <c r="AW14">
        <f t="shared" si="7"/>
        <v>57.551800000000007</v>
      </c>
      <c r="AX14">
        <f t="shared" si="8"/>
        <v>66.056599999999946</v>
      </c>
      <c r="AY14">
        <f t="shared" si="9"/>
        <v>71.461600000000033</v>
      </c>
      <c r="AZ14">
        <f t="shared" si="10"/>
        <v>69.733600000000024</v>
      </c>
      <c r="BA14">
        <f t="shared" si="11"/>
        <v>61.969000000000023</v>
      </c>
      <c r="BB14">
        <f t="shared" si="12"/>
        <v>50.789199999999973</v>
      </c>
      <c r="BC14">
        <f t="shared" si="13"/>
        <v>41.351800000000011</v>
      </c>
      <c r="BD14">
        <f t="shared" si="14"/>
        <v>31.013799999999996</v>
      </c>
      <c r="BE14">
        <f t="shared" si="15"/>
        <v>3.5529000000000011</v>
      </c>
      <c r="BF14">
        <f t="shared" si="16"/>
        <v>3.1296999999999984</v>
      </c>
      <c r="BG14">
        <f t="shared" si="17"/>
        <v>4.8702000000000023</v>
      </c>
      <c r="BH14">
        <f t="shared" si="18"/>
        <v>5.317700000000003</v>
      </c>
      <c r="BI14">
        <f t="shared" si="19"/>
        <v>4.6948000000000025</v>
      </c>
      <c r="BJ14">
        <f t="shared" si="20"/>
        <v>4.3144999999999953</v>
      </c>
      <c r="BK14">
        <f t="shared" si="21"/>
        <v>4.1477240000000037</v>
      </c>
      <c r="BL14">
        <f t="shared" si="22"/>
        <v>4.0559000000000021</v>
      </c>
      <c r="BM14">
        <f t="shared" si="23"/>
        <v>3.8507999999999991</v>
      </c>
      <c r="BN14">
        <f t="shared" si="24"/>
        <v>4.3765999999999963</v>
      </c>
      <c r="BO14">
        <f t="shared" si="25"/>
        <v>4.5586000000000011</v>
      </c>
      <c r="BP14">
        <f t="shared" si="26"/>
        <v>3.7120999999999973</v>
      </c>
      <c r="BQ14">
        <f t="shared" si="27"/>
        <v>1224.3660000000009</v>
      </c>
      <c r="BR14">
        <f t="shared" si="28"/>
        <v>959.78040000000055</v>
      </c>
      <c r="BS14">
        <f t="shared" si="29"/>
        <v>865.76039999999989</v>
      </c>
      <c r="BT14">
        <f t="shared" si="30"/>
        <v>523.55239999999969</v>
      </c>
      <c r="BU14">
        <f t="shared" si="31"/>
        <v>236.27</v>
      </c>
      <c r="BV14">
        <f t="shared" si="32"/>
        <v>37.834400000000016</v>
      </c>
      <c r="BW14">
        <f t="shared" si="33"/>
        <v>2.5206000000000017</v>
      </c>
      <c r="BX14">
        <f t="shared" si="34"/>
        <v>10.589999999999989</v>
      </c>
      <c r="BY14">
        <f t="shared" si="35"/>
        <v>99.990399999999994</v>
      </c>
      <c r="BZ14">
        <f t="shared" si="36"/>
        <v>399.00040000000007</v>
      </c>
      <c r="CA14">
        <f t="shared" si="37"/>
        <v>688.31319999999948</v>
      </c>
      <c r="CB14">
        <f t="shared" si="38"/>
        <v>1027.6323999999991</v>
      </c>
      <c r="CC14">
        <f t="shared" si="39"/>
        <v>10.474500000000004</v>
      </c>
      <c r="CD14">
        <f t="shared" si="40"/>
        <v>82.029800000000066</v>
      </c>
      <c r="CE14">
        <f t="shared" si="41"/>
        <v>219.25880000000006</v>
      </c>
      <c r="CF14">
        <f t="shared" si="42"/>
        <v>174.40800000000016</v>
      </c>
      <c r="CG14">
        <f t="shared" si="43"/>
        <v>32.0152</v>
      </c>
      <c r="CH14">
        <f t="shared" si="44"/>
        <v>0.54359999999999997</v>
      </c>
      <c r="CJ14">
        <f t="shared" si="2"/>
        <v>2.5883999999999823</v>
      </c>
      <c r="CK14">
        <f t="shared" si="47"/>
        <v>0.83159999999998391</v>
      </c>
      <c r="CL14">
        <f t="shared" si="48"/>
        <v>-2.9084000000000287</v>
      </c>
      <c r="CM14">
        <f t="shared" si="49"/>
        <v>-3.009000000000043</v>
      </c>
      <c r="CN14">
        <f t="shared" si="50"/>
        <v>-0.95180000000000575</v>
      </c>
      <c r="CO14">
        <f t="shared" si="51"/>
        <v>-1.7565999999999491</v>
      </c>
      <c r="CP14">
        <f t="shared" si="52"/>
        <v>-3.061600000000027</v>
      </c>
      <c r="CQ14">
        <f t="shared" si="53"/>
        <v>-2.6336000000000297</v>
      </c>
      <c r="CR14">
        <f t="shared" si="54"/>
        <v>-0.76900000000001967</v>
      </c>
      <c r="CS14">
        <f t="shared" si="55"/>
        <v>-2.6891999999999712</v>
      </c>
      <c r="CT14">
        <f t="shared" si="56"/>
        <v>-1.6518000000000086</v>
      </c>
      <c r="CU14">
        <f t="shared" si="57"/>
        <v>-0.21379999999999555</v>
      </c>
      <c r="CV14">
        <f t="shared" si="58"/>
        <v>-0.86290000000000111</v>
      </c>
      <c r="CW14">
        <f t="shared" si="59"/>
        <v>-1.0196999999999985</v>
      </c>
      <c r="CX14">
        <f t="shared" si="60"/>
        <v>-0.55020000000000202</v>
      </c>
      <c r="CY14">
        <f t="shared" si="61"/>
        <v>-2.5577000000000032</v>
      </c>
      <c r="CZ14">
        <f t="shared" si="62"/>
        <v>-2.9448000000000025</v>
      </c>
      <c r="DA14">
        <f t="shared" si="63"/>
        <v>2.5655000000000046</v>
      </c>
      <c r="DB14">
        <f t="shared" si="64"/>
        <v>0.46227599999999658</v>
      </c>
      <c r="DC14">
        <f t="shared" si="65"/>
        <v>2.0840999999999976</v>
      </c>
      <c r="DD14">
        <f t="shared" si="66"/>
        <v>-0.33079999999999909</v>
      </c>
      <c r="DE14">
        <f t="shared" si="67"/>
        <v>-2.0265999999999962</v>
      </c>
      <c r="DF14">
        <f t="shared" si="68"/>
        <v>1.4813999999999989</v>
      </c>
      <c r="DG14">
        <f t="shared" si="69"/>
        <v>1.9079000000000028</v>
      </c>
      <c r="DH14">
        <f t="shared" si="70"/>
        <v>-113.36600000000089</v>
      </c>
      <c r="DI14">
        <f t="shared" si="71"/>
        <v>2.2195999999994456</v>
      </c>
      <c r="DJ14">
        <f t="shared" si="72"/>
        <v>84.23960000000011</v>
      </c>
      <c r="DK14">
        <f t="shared" si="73"/>
        <v>87.447600000000307</v>
      </c>
      <c r="DL14">
        <f t="shared" si="74"/>
        <v>24.72999999999999</v>
      </c>
      <c r="DM14">
        <f t="shared" si="75"/>
        <v>19.165599999999984</v>
      </c>
      <c r="DN14">
        <f t="shared" si="76"/>
        <v>10.479399999999998</v>
      </c>
      <c r="DO14">
        <f t="shared" si="77"/>
        <v>14.410000000000011</v>
      </c>
      <c r="DP14">
        <f t="shared" si="78"/>
        <v>21.009600000000006</v>
      </c>
      <c r="DQ14">
        <f t="shared" si="79"/>
        <v>102.99959999999993</v>
      </c>
      <c r="DR14">
        <f t="shared" si="80"/>
        <v>49.686800000000517</v>
      </c>
      <c r="DS14">
        <f t="shared" si="81"/>
        <v>2.3676000000009481</v>
      </c>
      <c r="DT14">
        <f t="shared" si="82"/>
        <v>-3.4745000000000044</v>
      </c>
      <c r="DU14">
        <f t="shared" si="83"/>
        <v>-31.029800000000066</v>
      </c>
      <c r="DV14">
        <f t="shared" si="84"/>
        <v>-85.258800000000065</v>
      </c>
      <c r="DW14">
        <f t="shared" si="85"/>
        <v>-65.408000000000158</v>
      </c>
      <c r="DX14">
        <f t="shared" si="45"/>
        <v>-11.0152</v>
      </c>
      <c r="DY14">
        <f t="shared" si="46"/>
        <v>-0.54359999999999997</v>
      </c>
    </row>
    <row r="15" spans="1:129" x14ac:dyDescent="0.25">
      <c r="A15">
        <v>1993</v>
      </c>
      <c r="B15">
        <v>29.3</v>
      </c>
      <c r="C15">
        <v>23.1</v>
      </c>
      <c r="D15">
        <v>33.1</v>
      </c>
      <c r="E15">
        <v>47.4</v>
      </c>
      <c r="F15">
        <v>59.2</v>
      </c>
      <c r="G15">
        <v>66.3</v>
      </c>
      <c r="H15">
        <v>72.5</v>
      </c>
      <c r="I15">
        <v>71.2</v>
      </c>
      <c r="J15">
        <v>61.8</v>
      </c>
      <c r="K15">
        <v>48.8</v>
      </c>
      <c r="L15">
        <v>40.700000000000003</v>
      </c>
      <c r="M15">
        <v>30.4</v>
      </c>
      <c r="N15">
        <v>2.73</v>
      </c>
      <c r="O15">
        <v>2.94</v>
      </c>
      <c r="P15">
        <v>6.6</v>
      </c>
      <c r="Q15">
        <v>4.88</v>
      </c>
      <c r="R15">
        <v>0.97</v>
      </c>
      <c r="S15">
        <v>2.71</v>
      </c>
      <c r="T15">
        <v>3.09</v>
      </c>
      <c r="U15">
        <v>2.54</v>
      </c>
      <c r="V15">
        <v>5.99</v>
      </c>
      <c r="W15">
        <v>3.87</v>
      </c>
      <c r="X15">
        <v>3.99</v>
      </c>
      <c r="Y15">
        <v>5.44</v>
      </c>
      <c r="Z15">
        <v>1082</v>
      </c>
      <c r="AA15">
        <v>1147</v>
      </c>
      <c r="AB15">
        <v>966</v>
      </c>
      <c r="AC15">
        <v>517</v>
      </c>
      <c r="AD15">
        <v>186</v>
      </c>
      <c r="AE15">
        <v>30</v>
      </c>
      <c r="AF15">
        <v>0</v>
      </c>
      <c r="AG15">
        <v>4</v>
      </c>
      <c r="AH15">
        <v>106</v>
      </c>
      <c r="AI15">
        <v>481</v>
      </c>
      <c r="AJ15">
        <v>707</v>
      </c>
      <c r="AK15">
        <v>1048</v>
      </c>
      <c r="AL15">
        <v>16</v>
      </c>
      <c r="AM15">
        <v>86</v>
      </c>
      <c r="AN15">
        <v>252</v>
      </c>
      <c r="AO15">
        <v>213</v>
      </c>
      <c r="AP15">
        <v>28</v>
      </c>
      <c r="AQ15">
        <v>0</v>
      </c>
      <c r="AS15">
        <f t="shared" si="3"/>
        <v>25.80240000000002</v>
      </c>
      <c r="AT15">
        <f t="shared" si="4"/>
        <v>28.986100000000018</v>
      </c>
      <c r="AU15">
        <f t="shared" si="5"/>
        <v>36.528600000000033</v>
      </c>
      <c r="AV15">
        <f t="shared" si="6"/>
        <v>47.339500000000044</v>
      </c>
      <c r="AW15">
        <f t="shared" si="7"/>
        <v>57.600200000000008</v>
      </c>
      <c r="AX15">
        <f t="shared" si="8"/>
        <v>66.101399999999941</v>
      </c>
      <c r="AY15">
        <f t="shared" si="9"/>
        <v>71.519900000000035</v>
      </c>
      <c r="AZ15">
        <f t="shared" si="10"/>
        <v>69.782900000000026</v>
      </c>
      <c r="BA15">
        <f t="shared" si="11"/>
        <v>62.084000000000024</v>
      </c>
      <c r="BB15">
        <f t="shared" si="12"/>
        <v>50.898299999999971</v>
      </c>
      <c r="BC15">
        <f t="shared" si="13"/>
        <v>41.404700000000012</v>
      </c>
      <c r="BD15">
        <f t="shared" si="14"/>
        <v>31.128199999999996</v>
      </c>
      <c r="BE15">
        <f t="shared" si="15"/>
        <v>3.5563000000000011</v>
      </c>
      <c r="BF15">
        <f t="shared" si="16"/>
        <v>3.1327999999999983</v>
      </c>
      <c r="BG15">
        <f t="shared" si="17"/>
        <v>4.8926000000000025</v>
      </c>
      <c r="BH15">
        <f t="shared" si="18"/>
        <v>5.3500000000000032</v>
      </c>
      <c r="BI15">
        <f t="shared" si="19"/>
        <v>4.7149000000000028</v>
      </c>
      <c r="BJ15">
        <f t="shared" si="20"/>
        <v>4.3321999999999949</v>
      </c>
      <c r="BK15">
        <f t="shared" si="21"/>
        <v>4.147726000000004</v>
      </c>
      <c r="BL15">
        <f t="shared" si="22"/>
        <v>4.0664000000000025</v>
      </c>
      <c r="BM15">
        <f t="shared" si="23"/>
        <v>3.871799999999999</v>
      </c>
      <c r="BN15">
        <f t="shared" si="24"/>
        <v>4.407599999999996</v>
      </c>
      <c r="BO15">
        <f t="shared" si="25"/>
        <v>4.4930000000000012</v>
      </c>
      <c r="BP15">
        <f t="shared" si="26"/>
        <v>3.7401999999999971</v>
      </c>
      <c r="BQ15">
        <f t="shared" si="27"/>
        <v>1224.396500000001</v>
      </c>
      <c r="BR15">
        <f t="shared" si="28"/>
        <v>957.00710000000061</v>
      </c>
      <c r="BS15">
        <f t="shared" si="29"/>
        <v>865.30209999999988</v>
      </c>
      <c r="BT15">
        <f t="shared" si="30"/>
        <v>522.96009999999967</v>
      </c>
      <c r="BU15">
        <f t="shared" si="31"/>
        <v>235.3</v>
      </c>
      <c r="BV15">
        <f t="shared" si="32"/>
        <v>37.262100000000018</v>
      </c>
      <c r="BW15">
        <f t="shared" si="33"/>
        <v>2.4811000000000019</v>
      </c>
      <c r="BX15">
        <f t="shared" si="34"/>
        <v>10.333499999999988</v>
      </c>
      <c r="BY15">
        <f t="shared" si="35"/>
        <v>98.539599999999993</v>
      </c>
      <c r="BZ15">
        <f t="shared" si="36"/>
        <v>397.46460000000008</v>
      </c>
      <c r="CA15">
        <f t="shared" si="37"/>
        <v>686.80429999999944</v>
      </c>
      <c r="CB15">
        <f t="shared" si="38"/>
        <v>1024.110099999999</v>
      </c>
      <c r="CC15">
        <f t="shared" si="39"/>
        <v>10.764600000000005</v>
      </c>
      <c r="CD15">
        <f t="shared" si="40"/>
        <v>82.769700000000071</v>
      </c>
      <c r="CE15">
        <f t="shared" si="41"/>
        <v>220.99870000000007</v>
      </c>
      <c r="CF15">
        <f t="shared" si="42"/>
        <v>176.10700000000017</v>
      </c>
      <c r="CG15">
        <f t="shared" si="43"/>
        <v>33.469299999999997</v>
      </c>
      <c r="CH15">
        <f t="shared" si="44"/>
        <v>0.63239999999999996</v>
      </c>
      <c r="CJ15">
        <f t="shared" si="2"/>
        <v>3.4975999999999807</v>
      </c>
      <c r="CK15">
        <f t="shared" si="47"/>
        <v>-5.8861000000000168</v>
      </c>
      <c r="CL15">
        <f t="shared" si="48"/>
        <v>-3.4286000000000314</v>
      </c>
      <c r="CM15">
        <f t="shared" si="49"/>
        <v>6.0499999999954923E-2</v>
      </c>
      <c r="CN15">
        <f t="shared" si="50"/>
        <v>1.5997999999999948</v>
      </c>
      <c r="CO15">
        <f t="shared" si="51"/>
        <v>0.19860000000005584</v>
      </c>
      <c r="CP15">
        <f t="shared" si="52"/>
        <v>0.98009999999996467</v>
      </c>
      <c r="CQ15">
        <f t="shared" si="53"/>
        <v>1.4170999999999765</v>
      </c>
      <c r="CR15">
        <f t="shared" si="54"/>
        <v>-0.28400000000002734</v>
      </c>
      <c r="CS15">
        <f t="shared" si="55"/>
        <v>-2.0982999999999734</v>
      </c>
      <c r="CT15">
        <f t="shared" si="56"/>
        <v>-0.70470000000000965</v>
      </c>
      <c r="CU15">
        <f t="shared" si="57"/>
        <v>-0.72819999999999752</v>
      </c>
      <c r="CV15">
        <f t="shared" si="58"/>
        <v>-0.82630000000000114</v>
      </c>
      <c r="CW15">
        <f t="shared" si="59"/>
        <v>-0.19279999999999831</v>
      </c>
      <c r="CX15">
        <f t="shared" si="60"/>
        <v>1.7073999999999971</v>
      </c>
      <c r="CY15">
        <f t="shared" si="61"/>
        <v>-0.4700000000000033</v>
      </c>
      <c r="CZ15">
        <f t="shared" si="62"/>
        <v>-3.744900000000003</v>
      </c>
      <c r="DA15">
        <f t="shared" si="63"/>
        <v>-1.622199999999995</v>
      </c>
      <c r="DB15">
        <f t="shared" si="64"/>
        <v>-1.0577260000000042</v>
      </c>
      <c r="DC15">
        <f t="shared" si="65"/>
        <v>-1.5264000000000024</v>
      </c>
      <c r="DD15">
        <f t="shared" si="66"/>
        <v>2.1182000000000012</v>
      </c>
      <c r="DE15">
        <f t="shared" si="67"/>
        <v>-0.53759999999999586</v>
      </c>
      <c r="DF15">
        <f t="shared" si="68"/>
        <v>-0.503000000000001</v>
      </c>
      <c r="DG15">
        <f t="shared" si="69"/>
        <v>1.6998000000000033</v>
      </c>
      <c r="DH15">
        <f t="shared" si="70"/>
        <v>-142.39650000000097</v>
      </c>
      <c r="DI15">
        <f t="shared" si="71"/>
        <v>189.99289999999939</v>
      </c>
      <c r="DJ15">
        <f t="shared" si="72"/>
        <v>100.69790000000012</v>
      </c>
      <c r="DK15">
        <f t="shared" si="73"/>
        <v>-5.9600999999996702</v>
      </c>
      <c r="DL15">
        <f t="shared" si="74"/>
        <v>-49.300000000000011</v>
      </c>
      <c r="DM15">
        <f t="shared" si="75"/>
        <v>-7.262100000000018</v>
      </c>
      <c r="DN15">
        <f t="shared" si="76"/>
        <v>-2.4811000000000019</v>
      </c>
      <c r="DO15">
        <f t="shared" si="77"/>
        <v>-6.3334999999999884</v>
      </c>
      <c r="DP15">
        <f t="shared" si="78"/>
        <v>7.460400000000007</v>
      </c>
      <c r="DQ15">
        <f t="shared" si="79"/>
        <v>83.535399999999925</v>
      </c>
      <c r="DR15">
        <f t="shared" si="80"/>
        <v>20.195700000000556</v>
      </c>
      <c r="DS15">
        <f t="shared" si="81"/>
        <v>23.889900000001035</v>
      </c>
      <c r="DT15">
        <f t="shared" si="82"/>
        <v>5.2353999999999949</v>
      </c>
      <c r="DU15">
        <f t="shared" si="83"/>
        <v>3.2302999999999287</v>
      </c>
      <c r="DV15">
        <f t="shared" si="84"/>
        <v>31.001299999999929</v>
      </c>
      <c r="DW15">
        <f t="shared" si="85"/>
        <v>36.89299999999983</v>
      </c>
      <c r="DX15">
        <f t="shared" si="45"/>
        <v>-5.4692999999999969</v>
      </c>
      <c r="DY15">
        <f t="shared" si="46"/>
        <v>-0.63239999999999996</v>
      </c>
    </row>
    <row r="16" spans="1:129" x14ac:dyDescent="0.25">
      <c r="A16">
        <v>1994</v>
      </c>
      <c r="B16">
        <v>18.7</v>
      </c>
      <c r="C16">
        <v>22.8</v>
      </c>
      <c r="D16">
        <v>35.200000000000003</v>
      </c>
      <c r="E16">
        <v>48.9</v>
      </c>
      <c r="F16">
        <v>56</v>
      </c>
      <c r="G16">
        <v>68.8</v>
      </c>
      <c r="H16">
        <v>75</v>
      </c>
      <c r="I16">
        <v>68.400000000000006</v>
      </c>
      <c r="J16">
        <v>61.5</v>
      </c>
      <c r="K16">
        <v>50.7</v>
      </c>
      <c r="L16">
        <v>45.2</v>
      </c>
      <c r="M16">
        <v>35.1</v>
      </c>
      <c r="N16">
        <v>5.67</v>
      </c>
      <c r="O16">
        <v>2.83</v>
      </c>
      <c r="P16">
        <v>5.89</v>
      </c>
      <c r="Q16">
        <v>2.61</v>
      </c>
      <c r="R16">
        <v>3.6</v>
      </c>
      <c r="S16">
        <v>3.66</v>
      </c>
      <c r="T16">
        <v>4.3600000000000003</v>
      </c>
      <c r="U16">
        <v>6.71</v>
      </c>
      <c r="V16">
        <v>4.59</v>
      </c>
      <c r="W16">
        <v>1.17</v>
      </c>
      <c r="X16">
        <v>4.66</v>
      </c>
      <c r="Y16">
        <v>4.66</v>
      </c>
      <c r="Z16">
        <v>1400</v>
      </c>
      <c r="AA16">
        <v>1160</v>
      </c>
      <c r="AB16">
        <v>902</v>
      </c>
      <c r="AC16">
        <v>470</v>
      </c>
      <c r="AD16">
        <v>275</v>
      </c>
      <c r="AE16">
        <v>11</v>
      </c>
      <c r="AF16">
        <v>0</v>
      </c>
      <c r="AG16">
        <v>15</v>
      </c>
      <c r="AH16">
        <v>114</v>
      </c>
      <c r="AI16">
        <v>425</v>
      </c>
      <c r="AJ16">
        <v>570</v>
      </c>
      <c r="AK16">
        <v>902</v>
      </c>
      <c r="AL16">
        <v>5</v>
      </c>
      <c r="AM16">
        <v>137</v>
      </c>
      <c r="AN16">
        <v>328</v>
      </c>
      <c r="AO16">
        <v>138</v>
      </c>
      <c r="AP16">
        <v>23</v>
      </c>
      <c r="AQ16">
        <v>0</v>
      </c>
      <c r="AS16">
        <f t="shared" si="3"/>
        <v>25.893200000000022</v>
      </c>
      <c r="AT16">
        <f t="shared" si="4"/>
        <v>29.00380000000002</v>
      </c>
      <c r="AU16">
        <f t="shared" si="5"/>
        <v>36.548800000000035</v>
      </c>
      <c r="AV16">
        <f t="shared" si="6"/>
        <v>47.370000000000047</v>
      </c>
      <c r="AW16">
        <f t="shared" si="7"/>
        <v>57.648600000000009</v>
      </c>
      <c r="AX16">
        <f t="shared" si="8"/>
        <v>66.146199999999936</v>
      </c>
      <c r="AY16">
        <f t="shared" si="9"/>
        <v>71.578200000000038</v>
      </c>
      <c r="AZ16">
        <f t="shared" si="10"/>
        <v>69.832200000000029</v>
      </c>
      <c r="BA16">
        <f t="shared" si="11"/>
        <v>62.199000000000026</v>
      </c>
      <c r="BB16">
        <f t="shared" si="12"/>
        <v>51.007399999999969</v>
      </c>
      <c r="BC16">
        <f t="shared" si="13"/>
        <v>41.457600000000014</v>
      </c>
      <c r="BD16">
        <f t="shared" si="14"/>
        <v>31.242599999999996</v>
      </c>
      <c r="BE16">
        <f t="shared" si="15"/>
        <v>3.5597000000000012</v>
      </c>
      <c r="BF16">
        <f t="shared" si="16"/>
        <v>3.1358999999999981</v>
      </c>
      <c r="BG16">
        <f t="shared" si="17"/>
        <v>4.9150000000000027</v>
      </c>
      <c r="BH16">
        <f t="shared" si="18"/>
        <v>5.3823000000000034</v>
      </c>
      <c r="BI16">
        <f t="shared" si="19"/>
        <v>4.735000000000003</v>
      </c>
      <c r="BJ16">
        <f t="shared" si="20"/>
        <v>4.3498999999999945</v>
      </c>
      <c r="BK16">
        <f t="shared" si="21"/>
        <v>4.1477280000000043</v>
      </c>
      <c r="BL16">
        <f t="shared" si="22"/>
        <v>4.0769000000000029</v>
      </c>
      <c r="BM16">
        <f t="shared" si="23"/>
        <v>3.8927999999999989</v>
      </c>
      <c r="BN16">
        <f t="shared" si="24"/>
        <v>4.4385999999999957</v>
      </c>
      <c r="BO16">
        <f t="shared" si="25"/>
        <v>4.4274000000000013</v>
      </c>
      <c r="BP16">
        <f t="shared" si="26"/>
        <v>3.7682999999999969</v>
      </c>
      <c r="BQ16">
        <f t="shared" si="27"/>
        <v>1224.427000000001</v>
      </c>
      <c r="BR16">
        <f t="shared" si="28"/>
        <v>954.23380000000066</v>
      </c>
      <c r="BS16">
        <f t="shared" si="29"/>
        <v>864.84379999999987</v>
      </c>
      <c r="BT16">
        <f t="shared" si="30"/>
        <v>522.36779999999965</v>
      </c>
      <c r="BU16">
        <f t="shared" si="31"/>
        <v>234.33</v>
      </c>
      <c r="BV16">
        <f t="shared" si="32"/>
        <v>36.68980000000002</v>
      </c>
      <c r="BW16">
        <f t="shared" si="33"/>
        <v>2.441600000000002</v>
      </c>
      <c r="BX16">
        <f t="shared" si="34"/>
        <v>10.076999999999988</v>
      </c>
      <c r="BY16">
        <f t="shared" si="35"/>
        <v>97.088799999999992</v>
      </c>
      <c r="BZ16">
        <f t="shared" si="36"/>
        <v>395.92880000000008</v>
      </c>
      <c r="CA16">
        <f t="shared" si="37"/>
        <v>685.2953999999994</v>
      </c>
      <c r="CB16">
        <f t="shared" si="38"/>
        <v>1020.587799999999</v>
      </c>
      <c r="CC16">
        <f t="shared" si="39"/>
        <v>11.054700000000006</v>
      </c>
      <c r="CD16">
        <f t="shared" si="40"/>
        <v>83.509600000000077</v>
      </c>
      <c r="CE16">
        <f t="shared" si="41"/>
        <v>222.73860000000008</v>
      </c>
      <c r="CF16">
        <f t="shared" si="42"/>
        <v>177.80600000000018</v>
      </c>
      <c r="CG16">
        <f t="shared" si="43"/>
        <v>34.923399999999994</v>
      </c>
      <c r="CH16">
        <f t="shared" si="44"/>
        <v>0.72119999999999995</v>
      </c>
      <c r="CJ16">
        <f t="shared" si="2"/>
        <v>-7.1932000000000222</v>
      </c>
      <c r="CK16">
        <f t="shared" si="47"/>
        <v>-6.2038000000000189</v>
      </c>
      <c r="CL16">
        <f t="shared" si="48"/>
        <v>-1.3488000000000326</v>
      </c>
      <c r="CM16">
        <f t="shared" si="49"/>
        <v>1.5299999999999514</v>
      </c>
      <c r="CN16">
        <f t="shared" si="50"/>
        <v>-1.6486000000000089</v>
      </c>
      <c r="CO16">
        <f t="shared" si="51"/>
        <v>2.6538000000000608</v>
      </c>
      <c r="CP16">
        <f t="shared" si="52"/>
        <v>3.421799999999962</v>
      </c>
      <c r="CQ16">
        <f t="shared" si="53"/>
        <v>-1.432200000000023</v>
      </c>
      <c r="CR16">
        <f t="shared" si="54"/>
        <v>-0.69900000000002649</v>
      </c>
      <c r="CS16">
        <f t="shared" si="55"/>
        <v>-0.3073999999999657</v>
      </c>
      <c r="CT16">
        <f t="shared" si="56"/>
        <v>3.7423999999999893</v>
      </c>
      <c r="CU16">
        <f t="shared" si="57"/>
        <v>3.8574000000000055</v>
      </c>
      <c r="CV16">
        <f t="shared" si="58"/>
        <v>2.1102999999999987</v>
      </c>
      <c r="CW16">
        <f t="shared" si="59"/>
        <v>-0.30589999999999806</v>
      </c>
      <c r="CX16">
        <f t="shared" si="60"/>
        <v>0.97499999999999698</v>
      </c>
      <c r="CY16">
        <f t="shared" si="61"/>
        <v>-2.7723000000000035</v>
      </c>
      <c r="CZ16">
        <f t="shared" si="62"/>
        <v>-1.1350000000000029</v>
      </c>
      <c r="DA16">
        <f t="shared" si="63"/>
        <v>-0.68989999999999441</v>
      </c>
      <c r="DB16">
        <f t="shared" si="64"/>
        <v>0.21227199999999602</v>
      </c>
      <c r="DC16">
        <f t="shared" si="65"/>
        <v>2.6330999999999971</v>
      </c>
      <c r="DD16">
        <f t="shared" si="66"/>
        <v>0.69720000000000093</v>
      </c>
      <c r="DE16">
        <f t="shared" si="67"/>
        <v>-3.2685999999999957</v>
      </c>
      <c r="DF16">
        <f t="shared" si="68"/>
        <v>0.23259999999999881</v>
      </c>
      <c r="DG16">
        <f t="shared" si="69"/>
        <v>0.89170000000000327</v>
      </c>
      <c r="DH16">
        <f t="shared" si="70"/>
        <v>175.57299999999896</v>
      </c>
      <c r="DI16">
        <f t="shared" si="71"/>
        <v>205.76619999999934</v>
      </c>
      <c r="DJ16">
        <f t="shared" si="72"/>
        <v>37.156200000000126</v>
      </c>
      <c r="DK16">
        <f t="shared" si="73"/>
        <v>-52.367799999999647</v>
      </c>
      <c r="DL16">
        <f t="shared" si="74"/>
        <v>40.669999999999987</v>
      </c>
      <c r="DM16">
        <f t="shared" si="75"/>
        <v>-25.68980000000002</v>
      </c>
      <c r="DN16">
        <f t="shared" si="76"/>
        <v>-2.441600000000002</v>
      </c>
      <c r="DO16">
        <f t="shared" si="77"/>
        <v>4.9230000000000125</v>
      </c>
      <c r="DP16">
        <f t="shared" si="78"/>
        <v>16.911200000000008</v>
      </c>
      <c r="DQ16">
        <f t="shared" si="79"/>
        <v>29.071199999999919</v>
      </c>
      <c r="DR16">
        <f t="shared" si="80"/>
        <v>-115.2953999999994</v>
      </c>
      <c r="DS16">
        <f t="shared" si="81"/>
        <v>-118.58779999999899</v>
      </c>
      <c r="DT16">
        <f t="shared" si="82"/>
        <v>-6.0547000000000057</v>
      </c>
      <c r="DU16">
        <f t="shared" si="83"/>
        <v>53.490399999999923</v>
      </c>
      <c r="DV16">
        <f t="shared" si="84"/>
        <v>105.26139999999992</v>
      </c>
      <c r="DW16">
        <f t="shared" si="85"/>
        <v>-39.806000000000182</v>
      </c>
      <c r="DX16">
        <f t="shared" si="45"/>
        <v>-11.923399999999994</v>
      </c>
      <c r="DY16">
        <f t="shared" si="46"/>
        <v>-0.72119999999999995</v>
      </c>
    </row>
    <row r="17" spans="1:129" x14ac:dyDescent="0.25">
      <c r="A17">
        <v>1995</v>
      </c>
      <c r="B17">
        <v>32.299999999999997</v>
      </c>
      <c r="C17">
        <v>25.8</v>
      </c>
      <c r="D17">
        <v>39.299999999999997</v>
      </c>
      <c r="E17">
        <v>45.3</v>
      </c>
      <c r="F17">
        <v>55.7</v>
      </c>
      <c r="G17">
        <v>67</v>
      </c>
      <c r="H17">
        <v>73.8</v>
      </c>
      <c r="I17">
        <v>70.3</v>
      </c>
      <c r="J17">
        <v>60.5</v>
      </c>
      <c r="K17">
        <v>54.5</v>
      </c>
      <c r="L17">
        <v>37.799999999999997</v>
      </c>
      <c r="M17">
        <v>26.1</v>
      </c>
      <c r="N17">
        <v>3.97</v>
      </c>
      <c r="O17">
        <v>2.84</v>
      </c>
      <c r="P17">
        <v>2.4</v>
      </c>
      <c r="Q17">
        <v>2.68</v>
      </c>
      <c r="R17">
        <v>3.21</v>
      </c>
      <c r="S17">
        <v>1.68</v>
      </c>
      <c r="T17">
        <v>3.15</v>
      </c>
      <c r="U17">
        <v>2.39</v>
      </c>
      <c r="V17">
        <v>3.63</v>
      </c>
      <c r="W17">
        <v>8.9700000000000006</v>
      </c>
      <c r="X17">
        <v>5.07</v>
      </c>
      <c r="Y17">
        <v>2.2999999999999998</v>
      </c>
      <c r="Z17">
        <v>988</v>
      </c>
      <c r="AA17">
        <v>1074</v>
      </c>
      <c r="AB17">
        <v>783</v>
      </c>
      <c r="AC17">
        <v>573</v>
      </c>
      <c r="AD17">
        <v>283</v>
      </c>
      <c r="AE17">
        <v>24</v>
      </c>
      <c r="AF17">
        <v>0</v>
      </c>
      <c r="AG17">
        <v>6</v>
      </c>
      <c r="AH17">
        <v>132</v>
      </c>
      <c r="AI17">
        <v>311</v>
      </c>
      <c r="AJ17">
        <v>793</v>
      </c>
      <c r="AK17">
        <v>1181</v>
      </c>
      <c r="AL17">
        <v>0</v>
      </c>
      <c r="AM17">
        <v>93</v>
      </c>
      <c r="AN17">
        <v>287</v>
      </c>
      <c r="AO17">
        <v>192</v>
      </c>
      <c r="AP17">
        <v>19</v>
      </c>
      <c r="AQ17">
        <v>2</v>
      </c>
      <c r="AS17">
        <f t="shared" si="3"/>
        <v>25.984000000000023</v>
      </c>
      <c r="AT17">
        <f t="shared" si="4"/>
        <v>29.021500000000021</v>
      </c>
      <c r="AU17">
        <f t="shared" si="5"/>
        <v>36.569000000000038</v>
      </c>
      <c r="AV17">
        <f t="shared" si="6"/>
        <v>47.400500000000051</v>
      </c>
      <c r="AW17">
        <f t="shared" si="7"/>
        <v>57.69700000000001</v>
      </c>
      <c r="AX17">
        <f t="shared" si="8"/>
        <v>66.190999999999931</v>
      </c>
      <c r="AY17">
        <f t="shared" si="9"/>
        <v>71.636500000000041</v>
      </c>
      <c r="AZ17">
        <f t="shared" si="10"/>
        <v>69.881500000000031</v>
      </c>
      <c r="BA17">
        <f t="shared" si="11"/>
        <v>62.314000000000028</v>
      </c>
      <c r="BB17">
        <f t="shared" si="12"/>
        <v>51.116499999999967</v>
      </c>
      <c r="BC17">
        <f t="shared" si="13"/>
        <v>41.510500000000015</v>
      </c>
      <c r="BD17">
        <f t="shared" si="14"/>
        <v>31.356999999999996</v>
      </c>
      <c r="BE17">
        <f t="shared" si="15"/>
        <v>3.5631000000000013</v>
      </c>
      <c r="BF17">
        <f t="shared" si="16"/>
        <v>3.138999999999998</v>
      </c>
      <c r="BG17">
        <f t="shared" si="17"/>
        <v>4.9374000000000029</v>
      </c>
      <c r="BH17">
        <f t="shared" si="18"/>
        <v>5.4146000000000036</v>
      </c>
      <c r="BI17">
        <f t="shared" si="19"/>
        <v>4.7551000000000032</v>
      </c>
      <c r="BJ17">
        <f t="shared" si="20"/>
        <v>4.3675999999999942</v>
      </c>
      <c r="BK17">
        <f t="shared" si="21"/>
        <v>4.1477300000000046</v>
      </c>
      <c r="BL17">
        <f t="shared" si="22"/>
        <v>4.0874000000000033</v>
      </c>
      <c r="BM17">
        <f t="shared" si="23"/>
        <v>3.9137999999999988</v>
      </c>
      <c r="BN17">
        <f t="shared" si="24"/>
        <v>4.4695999999999954</v>
      </c>
      <c r="BO17">
        <f t="shared" si="25"/>
        <v>4.3618000000000015</v>
      </c>
      <c r="BP17">
        <f t="shared" si="26"/>
        <v>3.7963999999999967</v>
      </c>
      <c r="BQ17">
        <f t="shared" si="27"/>
        <v>1224.4575000000011</v>
      </c>
      <c r="BR17">
        <f t="shared" si="28"/>
        <v>951.46050000000071</v>
      </c>
      <c r="BS17">
        <f t="shared" si="29"/>
        <v>864.38549999999987</v>
      </c>
      <c r="BT17">
        <f t="shared" si="30"/>
        <v>521.77549999999962</v>
      </c>
      <c r="BU17">
        <f t="shared" si="31"/>
        <v>233.36</v>
      </c>
      <c r="BV17">
        <f t="shared" si="32"/>
        <v>36.117500000000021</v>
      </c>
      <c r="BW17">
        <f t="shared" si="33"/>
        <v>2.4021000000000021</v>
      </c>
      <c r="BX17">
        <f t="shared" si="34"/>
        <v>9.8204999999999867</v>
      </c>
      <c r="BY17">
        <f t="shared" si="35"/>
        <v>95.637999999999991</v>
      </c>
      <c r="BZ17">
        <f t="shared" si="36"/>
        <v>394.39300000000009</v>
      </c>
      <c r="CA17">
        <f t="shared" si="37"/>
        <v>683.78649999999936</v>
      </c>
      <c r="CB17">
        <f t="shared" si="38"/>
        <v>1017.065499999999</v>
      </c>
      <c r="CC17">
        <f t="shared" si="39"/>
        <v>11.344800000000006</v>
      </c>
      <c r="CD17">
        <f t="shared" si="40"/>
        <v>84.249500000000083</v>
      </c>
      <c r="CE17">
        <f t="shared" si="41"/>
        <v>224.47850000000008</v>
      </c>
      <c r="CF17">
        <f t="shared" si="42"/>
        <v>179.50500000000019</v>
      </c>
      <c r="CG17">
        <f t="shared" si="43"/>
        <v>36.377499999999991</v>
      </c>
      <c r="CH17">
        <f t="shared" si="44"/>
        <v>0.80999999999999994</v>
      </c>
      <c r="CJ17">
        <f t="shared" si="2"/>
        <v>6.3159999999999741</v>
      </c>
      <c r="CK17">
        <f t="shared" si="47"/>
        <v>-3.2215000000000202</v>
      </c>
      <c r="CL17">
        <f t="shared" si="48"/>
        <v>2.730999999999959</v>
      </c>
      <c r="CM17">
        <f t="shared" si="49"/>
        <v>-2.1005000000000535</v>
      </c>
      <c r="CN17">
        <f t="shared" si="50"/>
        <v>-1.997000000000007</v>
      </c>
      <c r="CO17">
        <f t="shared" si="51"/>
        <v>0.80900000000006855</v>
      </c>
      <c r="CP17">
        <f t="shared" si="52"/>
        <v>2.1634999999999565</v>
      </c>
      <c r="CQ17">
        <f t="shared" si="53"/>
        <v>0.41849999999996612</v>
      </c>
      <c r="CR17">
        <f t="shared" si="54"/>
        <v>-1.8140000000000285</v>
      </c>
      <c r="CS17">
        <f t="shared" si="55"/>
        <v>3.3835000000000335</v>
      </c>
      <c r="CT17">
        <f t="shared" si="56"/>
        <v>-3.7105000000000175</v>
      </c>
      <c r="CU17">
        <f t="shared" si="57"/>
        <v>-5.2569999999999943</v>
      </c>
      <c r="CV17">
        <f t="shared" si="58"/>
        <v>0.40689999999999893</v>
      </c>
      <c r="CW17">
        <f t="shared" si="59"/>
        <v>-0.29899999999999816</v>
      </c>
      <c r="CX17">
        <f t="shared" si="60"/>
        <v>-2.537400000000003</v>
      </c>
      <c r="CY17">
        <f t="shared" si="61"/>
        <v>-2.7346000000000035</v>
      </c>
      <c r="CZ17">
        <f t="shared" si="62"/>
        <v>-1.5451000000000032</v>
      </c>
      <c r="DA17">
        <f t="shared" si="63"/>
        <v>-2.6875999999999944</v>
      </c>
      <c r="DB17">
        <f t="shared" si="64"/>
        <v>-0.99773000000000467</v>
      </c>
      <c r="DC17">
        <f t="shared" si="65"/>
        <v>-1.6974000000000031</v>
      </c>
      <c r="DD17">
        <f t="shared" si="66"/>
        <v>-0.28379999999999894</v>
      </c>
      <c r="DE17">
        <f t="shared" si="67"/>
        <v>4.5004000000000053</v>
      </c>
      <c r="DF17">
        <f t="shared" si="68"/>
        <v>0.70819999999999883</v>
      </c>
      <c r="DG17">
        <f t="shared" si="69"/>
        <v>-1.4963999999999968</v>
      </c>
      <c r="DH17">
        <f t="shared" si="70"/>
        <v>-236.45750000000112</v>
      </c>
      <c r="DI17">
        <f t="shared" si="71"/>
        <v>122.53949999999929</v>
      </c>
      <c r="DJ17">
        <f t="shared" si="72"/>
        <v>-81.385499999999865</v>
      </c>
      <c r="DK17">
        <f t="shared" si="73"/>
        <v>51.224500000000376</v>
      </c>
      <c r="DL17">
        <f t="shared" si="74"/>
        <v>49.639999999999986</v>
      </c>
      <c r="DM17">
        <f t="shared" si="75"/>
        <v>-12.117500000000021</v>
      </c>
      <c r="DN17">
        <f t="shared" si="76"/>
        <v>-2.4021000000000021</v>
      </c>
      <c r="DO17">
        <f t="shared" si="77"/>
        <v>-3.8204999999999867</v>
      </c>
      <c r="DP17">
        <f t="shared" si="78"/>
        <v>36.362000000000009</v>
      </c>
      <c r="DQ17">
        <f t="shared" si="79"/>
        <v>-83.393000000000086</v>
      </c>
      <c r="DR17">
        <f t="shared" si="80"/>
        <v>109.21350000000064</v>
      </c>
      <c r="DS17">
        <f t="shared" si="81"/>
        <v>163.93450000000098</v>
      </c>
      <c r="DT17">
        <f t="shared" si="82"/>
        <v>-11.344800000000006</v>
      </c>
      <c r="DU17">
        <f t="shared" si="83"/>
        <v>8.7504999999999171</v>
      </c>
      <c r="DV17">
        <f t="shared" si="84"/>
        <v>62.521499999999918</v>
      </c>
      <c r="DW17">
        <f t="shared" si="85"/>
        <v>12.494999999999806</v>
      </c>
      <c r="DX17">
        <f t="shared" si="45"/>
        <v>-17.377499999999991</v>
      </c>
      <c r="DY17">
        <f t="shared" si="46"/>
        <v>1.19</v>
      </c>
    </row>
    <row r="18" spans="1:129" x14ac:dyDescent="0.25">
      <c r="A18">
        <v>1996</v>
      </c>
      <c r="B18">
        <v>25.2</v>
      </c>
      <c r="C18">
        <v>27.4</v>
      </c>
      <c r="D18">
        <v>33.4</v>
      </c>
      <c r="E18">
        <v>46.5</v>
      </c>
      <c r="F18">
        <v>55.8</v>
      </c>
      <c r="G18">
        <v>67.099999999999994</v>
      </c>
      <c r="H18">
        <v>69.400000000000006</v>
      </c>
      <c r="I18">
        <v>69.8</v>
      </c>
      <c r="J18">
        <v>62.3</v>
      </c>
      <c r="K18">
        <v>50.3</v>
      </c>
      <c r="L18">
        <v>37.4</v>
      </c>
      <c r="M18">
        <v>35.9</v>
      </c>
      <c r="N18">
        <v>6.73</v>
      </c>
      <c r="O18">
        <v>2.68</v>
      </c>
      <c r="P18">
        <v>2.91</v>
      </c>
      <c r="Q18">
        <v>7.14</v>
      </c>
      <c r="R18">
        <v>3.57</v>
      </c>
      <c r="S18">
        <v>2.97</v>
      </c>
      <c r="T18">
        <v>7.05</v>
      </c>
      <c r="U18">
        <v>2.2400000000000002</v>
      </c>
      <c r="V18">
        <v>6.29</v>
      </c>
      <c r="W18">
        <v>7.17</v>
      </c>
      <c r="X18">
        <v>4.0999999999999996</v>
      </c>
      <c r="Y18">
        <v>7.45</v>
      </c>
      <c r="Z18">
        <v>1208</v>
      </c>
      <c r="AA18">
        <v>1030</v>
      </c>
      <c r="AB18">
        <v>962</v>
      </c>
      <c r="AC18">
        <v>539</v>
      </c>
      <c r="AD18">
        <v>277</v>
      </c>
      <c r="AE18">
        <v>24</v>
      </c>
      <c r="AF18">
        <v>6</v>
      </c>
      <c r="AG18">
        <v>6</v>
      </c>
      <c r="AH18">
        <v>96</v>
      </c>
      <c r="AI18">
        <v>439</v>
      </c>
      <c r="AJ18">
        <v>809</v>
      </c>
      <c r="AK18">
        <v>877</v>
      </c>
      <c r="AL18">
        <v>5</v>
      </c>
      <c r="AM18">
        <v>94</v>
      </c>
      <c r="AN18">
        <v>160</v>
      </c>
      <c r="AO18">
        <v>174</v>
      </c>
      <c r="AP18">
        <v>33</v>
      </c>
      <c r="AQ18">
        <v>0</v>
      </c>
      <c r="AS18">
        <f t="shared" si="3"/>
        <v>26.074800000000025</v>
      </c>
      <c r="AT18">
        <f t="shared" si="4"/>
        <v>29.039200000000022</v>
      </c>
      <c r="AU18">
        <f t="shared" si="5"/>
        <v>36.589200000000041</v>
      </c>
      <c r="AV18">
        <f t="shared" si="6"/>
        <v>47.431000000000054</v>
      </c>
      <c r="AW18">
        <f t="shared" si="7"/>
        <v>57.745400000000011</v>
      </c>
      <c r="AX18">
        <f t="shared" si="8"/>
        <v>66.235799999999927</v>
      </c>
      <c r="AY18">
        <f t="shared" si="9"/>
        <v>71.694800000000043</v>
      </c>
      <c r="AZ18">
        <f t="shared" si="10"/>
        <v>69.930800000000033</v>
      </c>
      <c r="BA18">
        <f t="shared" si="11"/>
        <v>62.42900000000003</v>
      </c>
      <c r="BB18">
        <f t="shared" si="12"/>
        <v>51.225599999999964</v>
      </c>
      <c r="BC18">
        <f t="shared" si="13"/>
        <v>41.563400000000016</v>
      </c>
      <c r="BD18">
        <f t="shared" si="14"/>
        <v>31.471399999999996</v>
      </c>
      <c r="BE18">
        <f t="shared" si="15"/>
        <v>3.5665000000000013</v>
      </c>
      <c r="BF18">
        <f t="shared" si="16"/>
        <v>3.1420999999999979</v>
      </c>
      <c r="BG18">
        <f t="shared" si="17"/>
        <v>4.9598000000000031</v>
      </c>
      <c r="BH18">
        <f t="shared" si="18"/>
        <v>5.4469000000000038</v>
      </c>
      <c r="BI18">
        <f t="shared" si="19"/>
        <v>4.7752000000000034</v>
      </c>
      <c r="BJ18">
        <f t="shared" si="20"/>
        <v>4.3852999999999938</v>
      </c>
      <c r="BK18">
        <f t="shared" si="21"/>
        <v>4.1477320000000049</v>
      </c>
      <c r="BL18">
        <f t="shared" si="22"/>
        <v>4.0979000000000037</v>
      </c>
      <c r="BM18">
        <f t="shared" si="23"/>
        <v>3.9347999999999987</v>
      </c>
      <c r="BN18">
        <f t="shared" si="24"/>
        <v>4.500599999999995</v>
      </c>
      <c r="BO18">
        <f t="shared" si="25"/>
        <v>4.2962000000000016</v>
      </c>
      <c r="BP18">
        <f t="shared" si="26"/>
        <v>3.8244999999999965</v>
      </c>
      <c r="BQ18">
        <f t="shared" si="27"/>
        <v>1224.4880000000012</v>
      </c>
      <c r="BR18">
        <f t="shared" si="28"/>
        <v>948.68720000000076</v>
      </c>
      <c r="BS18">
        <f t="shared" si="29"/>
        <v>863.92719999999986</v>
      </c>
      <c r="BT18">
        <f t="shared" si="30"/>
        <v>521.1831999999996</v>
      </c>
      <c r="BU18">
        <f t="shared" si="31"/>
        <v>232.39000000000001</v>
      </c>
      <c r="BV18">
        <f t="shared" si="32"/>
        <v>35.545200000000023</v>
      </c>
      <c r="BW18">
        <f t="shared" si="33"/>
        <v>2.3626000000000023</v>
      </c>
      <c r="BX18">
        <f t="shared" si="34"/>
        <v>9.5639999999999858</v>
      </c>
      <c r="BY18">
        <f t="shared" si="35"/>
        <v>94.18719999999999</v>
      </c>
      <c r="BZ18">
        <f t="shared" si="36"/>
        <v>392.85720000000009</v>
      </c>
      <c r="CA18">
        <f t="shared" si="37"/>
        <v>682.27759999999932</v>
      </c>
      <c r="CB18">
        <f t="shared" si="38"/>
        <v>1013.543199999999</v>
      </c>
      <c r="CC18">
        <f t="shared" si="39"/>
        <v>11.634900000000007</v>
      </c>
      <c r="CD18">
        <f t="shared" si="40"/>
        <v>84.989400000000089</v>
      </c>
      <c r="CE18">
        <f t="shared" si="41"/>
        <v>226.21840000000009</v>
      </c>
      <c r="CF18">
        <f t="shared" si="42"/>
        <v>181.20400000000021</v>
      </c>
      <c r="CG18">
        <f t="shared" si="43"/>
        <v>37.831599999999987</v>
      </c>
      <c r="CH18">
        <f t="shared" si="44"/>
        <v>0.89879999999999993</v>
      </c>
      <c r="CJ18">
        <f t="shared" si="2"/>
        <v>-0.87480000000002534</v>
      </c>
      <c r="CK18">
        <f t="shared" si="47"/>
        <v>-1.6392000000000237</v>
      </c>
      <c r="CL18">
        <f t="shared" si="48"/>
        <v>-3.1892000000000422</v>
      </c>
      <c r="CM18">
        <f t="shared" si="49"/>
        <v>-0.93100000000005423</v>
      </c>
      <c r="CN18">
        <f t="shared" si="50"/>
        <v>-1.9454000000000136</v>
      </c>
      <c r="CO18">
        <f t="shared" si="51"/>
        <v>0.8642000000000678</v>
      </c>
      <c r="CP18">
        <f t="shared" si="52"/>
        <v>-2.2948000000000377</v>
      </c>
      <c r="CQ18">
        <f t="shared" si="53"/>
        <v>-0.13080000000003622</v>
      </c>
      <c r="CR18">
        <f t="shared" si="54"/>
        <v>-0.12900000000003331</v>
      </c>
      <c r="CS18">
        <f t="shared" si="55"/>
        <v>-0.92559999999996734</v>
      </c>
      <c r="CT18">
        <f t="shared" si="56"/>
        <v>-4.1634000000000171</v>
      </c>
      <c r="CU18">
        <f t="shared" si="57"/>
        <v>4.428600000000003</v>
      </c>
      <c r="CV18">
        <f t="shared" si="58"/>
        <v>3.1634999999999991</v>
      </c>
      <c r="CW18">
        <f t="shared" si="59"/>
        <v>-0.46209999999999773</v>
      </c>
      <c r="CX18">
        <f t="shared" si="60"/>
        <v>-2.049800000000003</v>
      </c>
      <c r="CY18">
        <f t="shared" si="61"/>
        <v>1.6930999999999958</v>
      </c>
      <c r="CZ18">
        <f t="shared" si="62"/>
        <v>-1.2052000000000036</v>
      </c>
      <c r="DA18">
        <f t="shared" si="63"/>
        <v>-1.4152999999999936</v>
      </c>
      <c r="DB18">
        <f t="shared" si="64"/>
        <v>2.902267999999995</v>
      </c>
      <c r="DC18">
        <f t="shared" si="65"/>
        <v>-1.8579000000000034</v>
      </c>
      <c r="DD18">
        <f t="shared" si="66"/>
        <v>2.3552000000000013</v>
      </c>
      <c r="DE18">
        <f t="shared" si="67"/>
        <v>2.6694000000000049</v>
      </c>
      <c r="DF18">
        <f t="shared" si="68"/>
        <v>-0.19620000000000193</v>
      </c>
      <c r="DG18">
        <f t="shared" si="69"/>
        <v>3.6255000000000037</v>
      </c>
      <c r="DH18">
        <f t="shared" si="70"/>
        <v>-16.488000000001193</v>
      </c>
      <c r="DI18">
        <f t="shared" si="71"/>
        <v>81.312799999999243</v>
      </c>
      <c r="DJ18">
        <f t="shared" si="72"/>
        <v>98.072800000000143</v>
      </c>
      <c r="DK18">
        <f t="shared" si="73"/>
        <v>17.816800000000399</v>
      </c>
      <c r="DL18">
        <f t="shared" si="74"/>
        <v>44.609999999999985</v>
      </c>
      <c r="DM18">
        <f t="shared" si="75"/>
        <v>-11.545200000000023</v>
      </c>
      <c r="DN18">
        <f t="shared" si="76"/>
        <v>3.6373999999999977</v>
      </c>
      <c r="DO18">
        <f t="shared" si="77"/>
        <v>-3.5639999999999858</v>
      </c>
      <c r="DP18">
        <f t="shared" si="78"/>
        <v>1.81280000000001</v>
      </c>
      <c r="DQ18">
        <f t="shared" si="79"/>
        <v>46.142799999999909</v>
      </c>
      <c r="DR18">
        <f t="shared" si="80"/>
        <v>126.72240000000068</v>
      </c>
      <c r="DS18">
        <f t="shared" si="81"/>
        <v>-136.54319999999905</v>
      </c>
      <c r="DT18">
        <f t="shared" si="82"/>
        <v>-6.6349000000000071</v>
      </c>
      <c r="DU18">
        <f t="shared" si="83"/>
        <v>9.0105999999999113</v>
      </c>
      <c r="DV18">
        <f t="shared" si="84"/>
        <v>-66.218400000000088</v>
      </c>
      <c r="DW18">
        <f t="shared" si="85"/>
        <v>-7.2040000000002067</v>
      </c>
      <c r="DX18">
        <f t="shared" si="45"/>
        <v>-4.8315999999999875</v>
      </c>
      <c r="DY18">
        <f t="shared" si="46"/>
        <v>-0.89879999999999993</v>
      </c>
    </row>
    <row r="19" spans="1:129" x14ac:dyDescent="0.25">
      <c r="A19">
        <v>1997</v>
      </c>
      <c r="B19">
        <v>26.9</v>
      </c>
      <c r="C19">
        <v>33.9</v>
      </c>
      <c r="D19">
        <v>35.799999999999997</v>
      </c>
      <c r="E19">
        <v>45.2</v>
      </c>
      <c r="F19">
        <v>54.2</v>
      </c>
      <c r="G19">
        <v>66.3</v>
      </c>
      <c r="H19">
        <v>70.8</v>
      </c>
      <c r="I19">
        <v>68.400000000000006</v>
      </c>
      <c r="J19">
        <v>61.6</v>
      </c>
      <c r="K19">
        <v>50</v>
      </c>
      <c r="L19">
        <v>38.6</v>
      </c>
      <c r="M19">
        <v>32</v>
      </c>
      <c r="N19">
        <v>3.91</v>
      </c>
      <c r="O19">
        <v>2.0699999999999998</v>
      </c>
      <c r="P19">
        <v>4.1100000000000003</v>
      </c>
      <c r="Q19">
        <v>4.4400000000000004</v>
      </c>
      <c r="R19">
        <v>3.38</v>
      </c>
      <c r="S19">
        <v>1.93</v>
      </c>
      <c r="T19">
        <v>3.82</v>
      </c>
      <c r="U19">
        <v>6.08</v>
      </c>
      <c r="V19">
        <v>1.45</v>
      </c>
      <c r="W19">
        <v>1.83</v>
      </c>
      <c r="X19">
        <v>6.41</v>
      </c>
      <c r="Y19">
        <v>3.25</v>
      </c>
      <c r="Z19">
        <v>1155</v>
      </c>
      <c r="AA19">
        <v>846</v>
      </c>
      <c r="AB19">
        <v>878</v>
      </c>
      <c r="AC19">
        <v>574</v>
      </c>
      <c r="AD19">
        <v>322</v>
      </c>
      <c r="AE19">
        <v>33</v>
      </c>
      <c r="AF19">
        <v>1</v>
      </c>
      <c r="AG19">
        <v>16</v>
      </c>
      <c r="AH19">
        <v>109</v>
      </c>
      <c r="AI19">
        <v>445</v>
      </c>
      <c r="AJ19">
        <v>768</v>
      </c>
      <c r="AK19">
        <v>998</v>
      </c>
      <c r="AL19">
        <v>0</v>
      </c>
      <c r="AM19">
        <v>78</v>
      </c>
      <c r="AN19">
        <v>199</v>
      </c>
      <c r="AO19">
        <v>137</v>
      </c>
      <c r="AP19">
        <v>26</v>
      </c>
      <c r="AQ19">
        <v>0</v>
      </c>
      <c r="AS19">
        <f t="shared" si="3"/>
        <v>26.165600000000026</v>
      </c>
      <c r="AT19">
        <f t="shared" si="4"/>
        <v>29.056900000000024</v>
      </c>
      <c r="AU19">
        <f t="shared" si="5"/>
        <v>36.609400000000043</v>
      </c>
      <c r="AV19">
        <f t="shared" si="6"/>
        <v>47.461500000000058</v>
      </c>
      <c r="AW19">
        <f t="shared" si="7"/>
        <v>57.793800000000012</v>
      </c>
      <c r="AX19">
        <f t="shared" si="8"/>
        <v>66.280599999999922</v>
      </c>
      <c r="AY19">
        <f t="shared" si="9"/>
        <v>71.753100000000046</v>
      </c>
      <c r="AZ19">
        <f t="shared" si="10"/>
        <v>69.980100000000036</v>
      </c>
      <c r="BA19">
        <f t="shared" si="11"/>
        <v>62.544000000000032</v>
      </c>
      <c r="BB19">
        <f t="shared" si="12"/>
        <v>51.334699999999962</v>
      </c>
      <c r="BC19">
        <f t="shared" si="13"/>
        <v>41.616300000000017</v>
      </c>
      <c r="BD19">
        <f t="shared" si="14"/>
        <v>31.585799999999995</v>
      </c>
      <c r="BE19">
        <f t="shared" si="15"/>
        <v>3.5699000000000014</v>
      </c>
      <c r="BF19">
        <f t="shared" si="16"/>
        <v>3.1451999999999978</v>
      </c>
      <c r="BG19">
        <f t="shared" si="17"/>
        <v>4.9822000000000033</v>
      </c>
      <c r="BH19">
        <f t="shared" si="18"/>
        <v>5.4792000000000041</v>
      </c>
      <c r="BI19">
        <f t="shared" si="19"/>
        <v>4.7953000000000037</v>
      </c>
      <c r="BJ19">
        <f t="shared" si="20"/>
        <v>4.4029999999999934</v>
      </c>
      <c r="BK19">
        <f t="shared" si="21"/>
        <v>4.1477340000000051</v>
      </c>
      <c r="BL19">
        <f t="shared" si="22"/>
        <v>4.108400000000004</v>
      </c>
      <c r="BM19">
        <f t="shared" si="23"/>
        <v>3.9557999999999987</v>
      </c>
      <c r="BN19">
        <f t="shared" si="24"/>
        <v>4.5315999999999947</v>
      </c>
      <c r="BO19">
        <f t="shared" si="25"/>
        <v>4.2306000000000017</v>
      </c>
      <c r="BP19">
        <f t="shared" si="26"/>
        <v>3.8525999999999962</v>
      </c>
      <c r="BQ19">
        <f t="shared" si="27"/>
        <v>1224.5185000000013</v>
      </c>
      <c r="BR19">
        <f t="shared" si="28"/>
        <v>945.91390000000081</v>
      </c>
      <c r="BS19">
        <f t="shared" si="29"/>
        <v>863.46889999999985</v>
      </c>
      <c r="BT19">
        <f t="shared" si="30"/>
        <v>520.59089999999958</v>
      </c>
      <c r="BU19">
        <f t="shared" si="31"/>
        <v>231.42000000000002</v>
      </c>
      <c r="BV19">
        <f t="shared" si="32"/>
        <v>34.972900000000024</v>
      </c>
      <c r="BW19">
        <f t="shared" si="33"/>
        <v>2.3231000000000024</v>
      </c>
      <c r="BX19">
        <f t="shared" si="34"/>
        <v>9.307499999999985</v>
      </c>
      <c r="BY19">
        <f t="shared" si="35"/>
        <v>92.736399999999989</v>
      </c>
      <c r="BZ19">
        <f t="shared" si="36"/>
        <v>391.3214000000001</v>
      </c>
      <c r="CA19">
        <f t="shared" si="37"/>
        <v>680.76869999999928</v>
      </c>
      <c r="CB19">
        <f t="shared" si="38"/>
        <v>1010.0208999999991</v>
      </c>
      <c r="CC19">
        <f t="shared" si="39"/>
        <v>11.925000000000008</v>
      </c>
      <c r="CD19">
        <f t="shared" si="40"/>
        <v>85.729300000000094</v>
      </c>
      <c r="CE19">
        <f t="shared" si="41"/>
        <v>227.95830000000009</v>
      </c>
      <c r="CF19">
        <f t="shared" si="42"/>
        <v>182.90300000000022</v>
      </c>
      <c r="CG19">
        <f t="shared" si="43"/>
        <v>39.285699999999984</v>
      </c>
      <c r="CH19">
        <f t="shared" si="44"/>
        <v>0.98759999999999992</v>
      </c>
      <c r="CJ19">
        <f t="shared" si="2"/>
        <v>0.73439999999997241</v>
      </c>
      <c r="CK19">
        <f t="shared" si="47"/>
        <v>4.8430999999999749</v>
      </c>
      <c r="CL19">
        <f t="shared" si="48"/>
        <v>-0.8094000000000463</v>
      </c>
      <c r="CM19">
        <f t="shared" si="49"/>
        <v>-2.2615000000000549</v>
      </c>
      <c r="CN19">
        <f t="shared" si="50"/>
        <v>-3.5938000000000088</v>
      </c>
      <c r="CO19">
        <f t="shared" si="51"/>
        <v>1.9400000000075579E-2</v>
      </c>
      <c r="CP19">
        <f t="shared" si="52"/>
        <v>-0.95310000000004891</v>
      </c>
      <c r="CQ19">
        <f t="shared" si="53"/>
        <v>-1.58010000000003</v>
      </c>
      <c r="CR19">
        <f t="shared" si="54"/>
        <v>-0.94400000000003104</v>
      </c>
      <c r="CS19">
        <f t="shared" si="55"/>
        <v>-1.3346999999999625</v>
      </c>
      <c r="CT19">
        <f t="shared" si="56"/>
        <v>-3.0163000000000153</v>
      </c>
      <c r="CU19">
        <f t="shared" si="57"/>
        <v>0.41420000000000456</v>
      </c>
      <c r="CV19">
        <f t="shared" si="58"/>
        <v>0.34009999999999874</v>
      </c>
      <c r="CW19">
        <f t="shared" si="59"/>
        <v>-1.0751999999999979</v>
      </c>
      <c r="CX19">
        <f t="shared" si="60"/>
        <v>-0.87220000000000297</v>
      </c>
      <c r="CY19">
        <f t="shared" si="61"/>
        <v>-1.0392000000000037</v>
      </c>
      <c r="CZ19">
        <f t="shared" si="62"/>
        <v>-1.4153000000000038</v>
      </c>
      <c r="DA19">
        <f t="shared" si="63"/>
        <v>-2.4729999999999936</v>
      </c>
      <c r="DB19">
        <f t="shared" si="64"/>
        <v>-0.3277340000000053</v>
      </c>
      <c r="DC19">
        <f t="shared" si="65"/>
        <v>1.971599999999996</v>
      </c>
      <c r="DD19">
        <f t="shared" si="66"/>
        <v>-2.5057999999999989</v>
      </c>
      <c r="DE19">
        <f t="shared" si="67"/>
        <v>-2.7015999999999947</v>
      </c>
      <c r="DF19">
        <f t="shared" si="68"/>
        <v>2.1793999999999984</v>
      </c>
      <c r="DG19">
        <f t="shared" si="69"/>
        <v>-0.60259999999999625</v>
      </c>
      <c r="DH19">
        <f t="shared" si="70"/>
        <v>-69.518500000001268</v>
      </c>
      <c r="DI19">
        <f t="shared" si="71"/>
        <v>-99.913900000000808</v>
      </c>
      <c r="DJ19">
        <f t="shared" si="72"/>
        <v>14.531100000000151</v>
      </c>
      <c r="DK19">
        <f t="shared" si="73"/>
        <v>53.409100000000421</v>
      </c>
      <c r="DL19">
        <f t="shared" si="74"/>
        <v>90.579999999999984</v>
      </c>
      <c r="DM19">
        <f t="shared" si="75"/>
        <v>-1.9729000000000241</v>
      </c>
      <c r="DN19">
        <f t="shared" si="76"/>
        <v>-1.3231000000000024</v>
      </c>
      <c r="DO19">
        <f t="shared" si="77"/>
        <v>6.692500000000015</v>
      </c>
      <c r="DP19">
        <f t="shared" si="78"/>
        <v>16.263600000000011</v>
      </c>
      <c r="DQ19">
        <f t="shared" si="79"/>
        <v>53.678599999999904</v>
      </c>
      <c r="DR19">
        <f t="shared" si="80"/>
        <v>87.231300000000715</v>
      </c>
      <c r="DS19">
        <f t="shared" si="81"/>
        <v>-12.020899999999074</v>
      </c>
      <c r="DT19">
        <f t="shared" si="82"/>
        <v>-11.925000000000008</v>
      </c>
      <c r="DU19">
        <f t="shared" si="83"/>
        <v>-7.7293000000000944</v>
      </c>
      <c r="DV19">
        <f t="shared" si="84"/>
        <v>-28.958300000000094</v>
      </c>
      <c r="DW19">
        <f t="shared" si="85"/>
        <v>-45.903000000000219</v>
      </c>
      <c r="DX19">
        <f t="shared" si="45"/>
        <v>-13.285699999999984</v>
      </c>
      <c r="DY19">
        <f t="shared" si="46"/>
        <v>-0.98759999999999992</v>
      </c>
    </row>
    <row r="20" spans="1:129" x14ac:dyDescent="0.25">
      <c r="A20">
        <v>1998</v>
      </c>
      <c r="B20">
        <v>33.1</v>
      </c>
      <c r="C20">
        <v>35.200000000000003</v>
      </c>
      <c r="D20">
        <v>39.299999999999997</v>
      </c>
      <c r="E20">
        <v>48.6</v>
      </c>
      <c r="F20">
        <v>61</v>
      </c>
      <c r="G20">
        <v>65.2</v>
      </c>
      <c r="H20">
        <v>71.2</v>
      </c>
      <c r="I20">
        <v>71.599999999999994</v>
      </c>
      <c r="J20">
        <v>64.2</v>
      </c>
      <c r="K20">
        <v>51.8</v>
      </c>
      <c r="L20">
        <v>41.3</v>
      </c>
      <c r="M20">
        <v>36.6</v>
      </c>
      <c r="N20">
        <v>4.67</v>
      </c>
      <c r="O20">
        <v>3.97</v>
      </c>
      <c r="P20">
        <v>6.1</v>
      </c>
      <c r="Q20">
        <v>4.49</v>
      </c>
      <c r="R20">
        <v>5.86</v>
      </c>
      <c r="S20">
        <v>7.42</v>
      </c>
      <c r="T20">
        <v>3.62</v>
      </c>
      <c r="U20">
        <v>2.46</v>
      </c>
      <c r="V20">
        <v>2.83</v>
      </c>
      <c r="W20">
        <v>5.07</v>
      </c>
      <c r="X20">
        <v>2.3199999999999998</v>
      </c>
      <c r="Y20">
        <v>1.27</v>
      </c>
      <c r="Z20">
        <v>963</v>
      </c>
      <c r="AA20">
        <v>817</v>
      </c>
      <c r="AB20">
        <v>779</v>
      </c>
      <c r="AC20">
        <v>481</v>
      </c>
      <c r="AD20">
        <v>149</v>
      </c>
      <c r="AE20">
        <v>46</v>
      </c>
      <c r="AF20">
        <v>1</v>
      </c>
      <c r="AG20">
        <v>1</v>
      </c>
      <c r="AH20">
        <v>63</v>
      </c>
      <c r="AI20">
        <v>390</v>
      </c>
      <c r="AJ20">
        <v>688</v>
      </c>
      <c r="AK20">
        <v>860</v>
      </c>
      <c r="AL20">
        <v>27</v>
      </c>
      <c r="AM20">
        <v>62</v>
      </c>
      <c r="AN20">
        <v>213</v>
      </c>
      <c r="AO20">
        <v>221</v>
      </c>
      <c r="AP20">
        <v>58</v>
      </c>
      <c r="AQ20">
        <v>0</v>
      </c>
      <c r="AS20">
        <f t="shared" si="3"/>
        <v>26.256400000000028</v>
      </c>
      <c r="AT20">
        <f t="shared" si="4"/>
        <v>29.074600000000025</v>
      </c>
      <c r="AU20">
        <f t="shared" si="5"/>
        <v>36.629600000000046</v>
      </c>
      <c r="AV20">
        <f t="shared" si="6"/>
        <v>47.492000000000061</v>
      </c>
      <c r="AW20">
        <f t="shared" si="7"/>
        <v>57.842200000000012</v>
      </c>
      <c r="AX20">
        <f t="shared" si="8"/>
        <v>66.325399999999917</v>
      </c>
      <c r="AY20">
        <f t="shared" si="9"/>
        <v>71.811400000000049</v>
      </c>
      <c r="AZ20">
        <f t="shared" si="10"/>
        <v>70.029400000000038</v>
      </c>
      <c r="BA20">
        <f t="shared" si="11"/>
        <v>62.659000000000034</v>
      </c>
      <c r="BB20">
        <f t="shared" si="12"/>
        <v>51.44379999999996</v>
      </c>
      <c r="BC20">
        <f t="shared" si="13"/>
        <v>41.669200000000018</v>
      </c>
      <c r="BD20">
        <f t="shared" si="14"/>
        <v>31.700199999999995</v>
      </c>
      <c r="BE20">
        <f t="shared" si="15"/>
        <v>3.5733000000000015</v>
      </c>
      <c r="BF20">
        <f t="shared" si="16"/>
        <v>3.1482999999999977</v>
      </c>
      <c r="BG20">
        <f t="shared" si="17"/>
        <v>5.0046000000000035</v>
      </c>
      <c r="BH20">
        <f t="shared" si="18"/>
        <v>5.5115000000000043</v>
      </c>
      <c r="BI20">
        <f t="shared" si="19"/>
        <v>4.8154000000000039</v>
      </c>
      <c r="BJ20">
        <f t="shared" si="20"/>
        <v>4.420699999999993</v>
      </c>
      <c r="BK20">
        <f t="shared" si="21"/>
        <v>4.1477360000000054</v>
      </c>
      <c r="BL20">
        <f t="shared" si="22"/>
        <v>4.1189000000000044</v>
      </c>
      <c r="BM20">
        <f t="shared" si="23"/>
        <v>3.9767999999999986</v>
      </c>
      <c r="BN20">
        <f t="shared" si="24"/>
        <v>4.5625999999999944</v>
      </c>
      <c r="BO20">
        <f t="shared" si="25"/>
        <v>4.1650000000000018</v>
      </c>
      <c r="BP20">
        <f t="shared" si="26"/>
        <v>3.880699999999996</v>
      </c>
      <c r="BQ20">
        <f t="shared" si="27"/>
        <v>1224.5490000000013</v>
      </c>
      <c r="BR20">
        <f t="shared" si="28"/>
        <v>943.14060000000086</v>
      </c>
      <c r="BS20">
        <f t="shared" si="29"/>
        <v>863.01059999999984</v>
      </c>
      <c r="BT20">
        <f t="shared" si="30"/>
        <v>519.99859999999956</v>
      </c>
      <c r="BU20">
        <f t="shared" si="31"/>
        <v>230.45000000000002</v>
      </c>
      <c r="BV20">
        <f t="shared" si="32"/>
        <v>34.400600000000026</v>
      </c>
      <c r="BW20">
        <f t="shared" si="33"/>
        <v>2.2836000000000025</v>
      </c>
      <c r="BX20">
        <f t="shared" si="34"/>
        <v>9.0509999999999842</v>
      </c>
      <c r="BY20">
        <f t="shared" si="35"/>
        <v>91.285599999999988</v>
      </c>
      <c r="BZ20">
        <f t="shared" si="36"/>
        <v>389.7856000000001</v>
      </c>
      <c r="CA20">
        <f t="shared" si="37"/>
        <v>679.25979999999925</v>
      </c>
      <c r="CB20">
        <f t="shared" si="38"/>
        <v>1006.4985999999991</v>
      </c>
      <c r="CC20">
        <f t="shared" si="39"/>
        <v>12.215100000000009</v>
      </c>
      <c r="CD20">
        <f t="shared" si="40"/>
        <v>86.4692000000001</v>
      </c>
      <c r="CE20">
        <f t="shared" si="41"/>
        <v>229.6982000000001</v>
      </c>
      <c r="CF20">
        <f t="shared" si="42"/>
        <v>184.60200000000023</v>
      </c>
      <c r="CG20">
        <f t="shared" si="43"/>
        <v>40.739799999999981</v>
      </c>
      <c r="CH20">
        <f t="shared" si="44"/>
        <v>1.0764</v>
      </c>
      <c r="CJ20">
        <f t="shared" si="2"/>
        <v>6.8435999999999737</v>
      </c>
      <c r="CK20">
        <f t="shared" si="47"/>
        <v>6.1253999999999778</v>
      </c>
      <c r="CL20">
        <f t="shared" si="48"/>
        <v>2.670399999999951</v>
      </c>
      <c r="CM20">
        <f t="shared" si="49"/>
        <v>1.1079999999999401</v>
      </c>
      <c r="CN20">
        <f t="shared" si="50"/>
        <v>3.1577999999999875</v>
      </c>
      <c r="CO20">
        <f t="shared" si="51"/>
        <v>-1.1253999999999138</v>
      </c>
      <c r="CP20">
        <f t="shared" si="52"/>
        <v>-0.61140000000004591</v>
      </c>
      <c r="CQ20">
        <f t="shared" si="53"/>
        <v>1.5705999999999563</v>
      </c>
      <c r="CR20">
        <f t="shared" si="54"/>
        <v>1.5409999999999684</v>
      </c>
      <c r="CS20">
        <f t="shared" si="55"/>
        <v>0.35620000000003671</v>
      </c>
      <c r="CT20">
        <f t="shared" si="56"/>
        <v>-0.36920000000002062</v>
      </c>
      <c r="CU20">
        <f t="shared" si="57"/>
        <v>4.8998000000000062</v>
      </c>
      <c r="CV20">
        <f t="shared" si="58"/>
        <v>1.0966999999999985</v>
      </c>
      <c r="CW20">
        <f t="shared" si="59"/>
        <v>0.82170000000000254</v>
      </c>
      <c r="CX20">
        <f t="shared" si="60"/>
        <v>1.0953999999999962</v>
      </c>
      <c r="CY20">
        <f t="shared" si="61"/>
        <v>-1.0215000000000041</v>
      </c>
      <c r="CZ20">
        <f t="shared" si="62"/>
        <v>1.0445999999999964</v>
      </c>
      <c r="DA20">
        <f t="shared" si="63"/>
        <v>2.999300000000007</v>
      </c>
      <c r="DB20">
        <f t="shared" si="64"/>
        <v>-0.52773600000000531</v>
      </c>
      <c r="DC20">
        <f t="shared" si="65"/>
        <v>-1.6589000000000045</v>
      </c>
      <c r="DD20">
        <f t="shared" si="66"/>
        <v>-1.1467999999999985</v>
      </c>
      <c r="DE20">
        <f t="shared" si="67"/>
        <v>0.50740000000000585</v>
      </c>
      <c r="DF20">
        <f t="shared" si="68"/>
        <v>-1.845000000000002</v>
      </c>
      <c r="DG20">
        <f t="shared" si="69"/>
        <v>-2.610699999999996</v>
      </c>
      <c r="DH20">
        <f t="shared" si="70"/>
        <v>-261.54900000000134</v>
      </c>
      <c r="DI20">
        <f t="shared" si="71"/>
        <v>-126.14060000000086</v>
      </c>
      <c r="DJ20">
        <f t="shared" si="72"/>
        <v>-84.01059999999984</v>
      </c>
      <c r="DK20">
        <f t="shared" si="73"/>
        <v>-38.998599999999556</v>
      </c>
      <c r="DL20">
        <f t="shared" si="74"/>
        <v>-81.450000000000017</v>
      </c>
      <c r="DM20">
        <f t="shared" si="75"/>
        <v>11.599399999999974</v>
      </c>
      <c r="DN20">
        <f t="shared" si="76"/>
        <v>-1.2836000000000025</v>
      </c>
      <c r="DO20">
        <f t="shared" si="77"/>
        <v>-8.0509999999999842</v>
      </c>
      <c r="DP20">
        <f t="shared" si="78"/>
        <v>-28.285599999999988</v>
      </c>
      <c r="DQ20">
        <f t="shared" si="79"/>
        <v>0.21439999999989823</v>
      </c>
      <c r="DR20">
        <f t="shared" si="80"/>
        <v>8.7402000000007547</v>
      </c>
      <c r="DS20">
        <f t="shared" si="81"/>
        <v>-146.4985999999991</v>
      </c>
      <c r="DT20">
        <f t="shared" si="82"/>
        <v>14.784899999999991</v>
      </c>
      <c r="DU20">
        <f t="shared" si="83"/>
        <v>-24.4692000000001</v>
      </c>
      <c r="DV20">
        <f t="shared" si="84"/>
        <v>-16.698200000000099</v>
      </c>
      <c r="DW20">
        <f t="shared" si="85"/>
        <v>36.397999999999769</v>
      </c>
      <c r="DX20">
        <f t="shared" si="45"/>
        <v>17.260200000000019</v>
      </c>
      <c r="DY20">
        <f t="shared" si="46"/>
        <v>-1.0764</v>
      </c>
    </row>
    <row r="21" spans="1:129" x14ac:dyDescent="0.25">
      <c r="A21">
        <v>1999</v>
      </c>
      <c r="B21">
        <v>27.4</v>
      </c>
      <c r="C21">
        <v>31.7</v>
      </c>
      <c r="D21">
        <v>37.4</v>
      </c>
      <c r="E21">
        <v>47.9</v>
      </c>
      <c r="F21">
        <v>58.5</v>
      </c>
      <c r="G21">
        <v>68.8</v>
      </c>
      <c r="H21">
        <v>74.8</v>
      </c>
      <c r="I21">
        <v>69.8</v>
      </c>
      <c r="J21">
        <v>64.599999999999994</v>
      </c>
      <c r="K21">
        <v>50.1</v>
      </c>
      <c r="L21">
        <v>45.4</v>
      </c>
      <c r="M21">
        <v>33.799999999999997</v>
      </c>
      <c r="N21">
        <v>7.3</v>
      </c>
      <c r="O21">
        <v>3.73</v>
      </c>
      <c r="P21">
        <v>5.42</v>
      </c>
      <c r="Q21">
        <v>1.35</v>
      </c>
      <c r="R21">
        <v>4.33</v>
      </c>
      <c r="S21">
        <v>0.85</v>
      </c>
      <c r="T21">
        <v>2.42</v>
      </c>
      <c r="U21">
        <v>2.9</v>
      </c>
      <c r="V21">
        <v>10.39</v>
      </c>
      <c r="W21">
        <v>4.4800000000000004</v>
      </c>
      <c r="X21">
        <v>3.21</v>
      </c>
      <c r="Y21">
        <v>2.77</v>
      </c>
      <c r="Z21">
        <v>1134</v>
      </c>
      <c r="AA21">
        <v>914</v>
      </c>
      <c r="AB21">
        <v>835</v>
      </c>
      <c r="AC21">
        <v>499</v>
      </c>
      <c r="AD21">
        <v>205</v>
      </c>
      <c r="AE21">
        <v>11</v>
      </c>
      <c r="AF21">
        <v>0</v>
      </c>
      <c r="AG21">
        <v>7</v>
      </c>
      <c r="AH21">
        <v>59</v>
      </c>
      <c r="AI21">
        <v>440</v>
      </c>
      <c r="AJ21">
        <v>572</v>
      </c>
      <c r="AK21">
        <v>941</v>
      </c>
      <c r="AL21">
        <v>13</v>
      </c>
      <c r="AM21">
        <v>137</v>
      </c>
      <c r="AN21">
        <v>322</v>
      </c>
      <c r="AO21">
        <v>175</v>
      </c>
      <c r="AP21">
        <v>61</v>
      </c>
      <c r="AQ21">
        <v>0</v>
      </c>
      <c r="AS21">
        <f t="shared" si="3"/>
        <v>26.347200000000029</v>
      </c>
      <c r="AT21">
        <f t="shared" si="4"/>
        <v>29.092300000000026</v>
      </c>
      <c r="AU21">
        <f t="shared" si="5"/>
        <v>36.649800000000049</v>
      </c>
      <c r="AV21">
        <f t="shared" si="6"/>
        <v>47.522500000000065</v>
      </c>
      <c r="AW21">
        <f t="shared" si="7"/>
        <v>57.890600000000013</v>
      </c>
      <c r="AX21">
        <f t="shared" si="8"/>
        <v>66.370199999999912</v>
      </c>
      <c r="AY21">
        <f t="shared" si="9"/>
        <v>71.869700000000051</v>
      </c>
      <c r="AZ21">
        <f t="shared" si="10"/>
        <v>70.07870000000004</v>
      </c>
      <c r="BA21">
        <f t="shared" si="11"/>
        <v>62.774000000000036</v>
      </c>
      <c r="BB21">
        <f t="shared" si="12"/>
        <v>51.552899999999958</v>
      </c>
      <c r="BC21">
        <f t="shared" si="13"/>
        <v>41.722100000000019</v>
      </c>
      <c r="BD21">
        <f t="shared" si="14"/>
        <v>31.814599999999995</v>
      </c>
      <c r="BE21">
        <f t="shared" si="15"/>
        <v>3.5767000000000015</v>
      </c>
      <c r="BF21">
        <f t="shared" si="16"/>
        <v>3.1513999999999975</v>
      </c>
      <c r="BG21">
        <f t="shared" si="17"/>
        <v>5.0270000000000037</v>
      </c>
      <c r="BH21">
        <f t="shared" si="18"/>
        <v>5.5438000000000045</v>
      </c>
      <c r="BI21">
        <f t="shared" si="19"/>
        <v>4.8355000000000041</v>
      </c>
      <c r="BJ21">
        <f t="shared" si="20"/>
        <v>4.4383999999999926</v>
      </c>
      <c r="BK21">
        <f t="shared" si="21"/>
        <v>4.1477380000000057</v>
      </c>
      <c r="BL21">
        <f t="shared" si="22"/>
        <v>4.1294000000000048</v>
      </c>
      <c r="BM21">
        <f t="shared" si="23"/>
        <v>3.9977999999999985</v>
      </c>
      <c r="BN21">
        <f t="shared" si="24"/>
        <v>4.5935999999999941</v>
      </c>
      <c r="BO21">
        <f t="shared" si="25"/>
        <v>4.0994000000000019</v>
      </c>
      <c r="BP21">
        <f t="shared" si="26"/>
        <v>3.9087999999999958</v>
      </c>
      <c r="BQ21">
        <f t="shared" si="27"/>
        <v>1224.5795000000014</v>
      </c>
      <c r="BR21">
        <f t="shared" si="28"/>
        <v>940.36730000000091</v>
      </c>
      <c r="BS21">
        <f t="shared" si="29"/>
        <v>862.55229999999983</v>
      </c>
      <c r="BT21">
        <f t="shared" si="30"/>
        <v>519.40629999999953</v>
      </c>
      <c r="BU21">
        <f t="shared" si="31"/>
        <v>229.48000000000002</v>
      </c>
      <c r="BV21">
        <f t="shared" si="32"/>
        <v>33.828300000000027</v>
      </c>
      <c r="BW21">
        <f t="shared" si="33"/>
        <v>2.2441000000000026</v>
      </c>
      <c r="BX21">
        <f t="shared" si="34"/>
        <v>8.7944999999999833</v>
      </c>
      <c r="BY21">
        <f t="shared" si="35"/>
        <v>89.834799999999987</v>
      </c>
      <c r="BZ21">
        <f t="shared" si="36"/>
        <v>388.24980000000011</v>
      </c>
      <c r="CA21">
        <f t="shared" si="37"/>
        <v>677.75089999999921</v>
      </c>
      <c r="CB21">
        <f t="shared" si="38"/>
        <v>1002.9762999999991</v>
      </c>
      <c r="CC21">
        <f t="shared" si="39"/>
        <v>12.505200000000009</v>
      </c>
      <c r="CD21">
        <f t="shared" si="40"/>
        <v>87.209100000000106</v>
      </c>
      <c r="CE21">
        <f t="shared" si="41"/>
        <v>231.43810000000011</v>
      </c>
      <c r="CF21">
        <f t="shared" si="42"/>
        <v>186.30100000000024</v>
      </c>
      <c r="CG21">
        <f t="shared" si="43"/>
        <v>42.193899999999978</v>
      </c>
      <c r="CH21">
        <f t="shared" si="44"/>
        <v>1.1652</v>
      </c>
      <c r="CJ21">
        <f t="shared" si="2"/>
        <v>1.0527999999999693</v>
      </c>
      <c r="CK21">
        <f t="shared" si="47"/>
        <v>2.6076999999999728</v>
      </c>
      <c r="CL21">
        <f t="shared" si="48"/>
        <v>0.7501999999999498</v>
      </c>
      <c r="CM21">
        <f t="shared" si="49"/>
        <v>0.37749999999993378</v>
      </c>
      <c r="CN21">
        <f t="shared" si="50"/>
        <v>0.60939999999998662</v>
      </c>
      <c r="CO21">
        <f t="shared" si="51"/>
        <v>2.4298000000000854</v>
      </c>
      <c r="CP21">
        <f t="shared" si="52"/>
        <v>2.9302999999999457</v>
      </c>
      <c r="CQ21">
        <f t="shared" si="53"/>
        <v>-0.27870000000004325</v>
      </c>
      <c r="CR21">
        <f t="shared" si="54"/>
        <v>1.8259999999999579</v>
      </c>
      <c r="CS21">
        <f t="shared" si="55"/>
        <v>-1.452899999999957</v>
      </c>
      <c r="CT21">
        <f t="shared" si="56"/>
        <v>3.6778999999999797</v>
      </c>
      <c r="CU21">
        <f t="shared" si="57"/>
        <v>1.9854000000000021</v>
      </c>
      <c r="CV21">
        <f t="shared" si="58"/>
        <v>3.7232999999999983</v>
      </c>
      <c r="CW21">
        <f t="shared" si="59"/>
        <v>0.57860000000000245</v>
      </c>
      <c r="CX21">
        <f t="shared" si="60"/>
        <v>0.39299999999999624</v>
      </c>
      <c r="CY21">
        <f t="shared" si="61"/>
        <v>-4.1938000000000049</v>
      </c>
      <c r="CZ21">
        <f t="shared" si="62"/>
        <v>-0.50550000000000406</v>
      </c>
      <c r="DA21">
        <f t="shared" si="63"/>
        <v>-3.5883999999999925</v>
      </c>
      <c r="DB21">
        <f t="shared" si="64"/>
        <v>-1.7277380000000058</v>
      </c>
      <c r="DC21">
        <f t="shared" si="65"/>
        <v>-1.2294000000000049</v>
      </c>
      <c r="DD21">
        <f t="shared" si="66"/>
        <v>6.3922000000000025</v>
      </c>
      <c r="DE21">
        <f t="shared" si="67"/>
        <v>-0.11359999999999371</v>
      </c>
      <c r="DF21">
        <f t="shared" si="68"/>
        <v>-0.88940000000000197</v>
      </c>
      <c r="DG21">
        <f t="shared" si="69"/>
        <v>-1.1387999999999958</v>
      </c>
      <c r="DH21">
        <f t="shared" si="70"/>
        <v>-90.579500000001417</v>
      </c>
      <c r="DI21">
        <f t="shared" si="71"/>
        <v>-26.36730000000091</v>
      </c>
      <c r="DJ21">
        <f t="shared" si="72"/>
        <v>-27.552299999999832</v>
      </c>
      <c r="DK21">
        <f t="shared" si="73"/>
        <v>-20.406299999999533</v>
      </c>
      <c r="DL21">
        <f t="shared" si="74"/>
        <v>-24.480000000000018</v>
      </c>
      <c r="DM21">
        <f t="shared" si="75"/>
        <v>-22.828300000000027</v>
      </c>
      <c r="DN21">
        <f t="shared" si="76"/>
        <v>-2.2441000000000026</v>
      </c>
      <c r="DO21">
        <f t="shared" si="77"/>
        <v>-1.7944999999999833</v>
      </c>
      <c r="DP21">
        <f t="shared" si="78"/>
        <v>-30.834799999999987</v>
      </c>
      <c r="DQ21">
        <f t="shared" si="79"/>
        <v>51.750199999999893</v>
      </c>
      <c r="DR21">
        <f t="shared" si="80"/>
        <v>-105.75089999999921</v>
      </c>
      <c r="DS21">
        <f t="shared" si="81"/>
        <v>-61.976299999999128</v>
      </c>
      <c r="DT21">
        <f t="shared" si="82"/>
        <v>0.4947999999999908</v>
      </c>
      <c r="DU21">
        <f t="shared" si="83"/>
        <v>49.790899999999894</v>
      </c>
      <c r="DV21">
        <f t="shared" si="84"/>
        <v>90.561899999999895</v>
      </c>
      <c r="DW21">
        <f t="shared" si="85"/>
        <v>-11.301000000000244</v>
      </c>
      <c r="DX21">
        <f t="shared" si="45"/>
        <v>18.806100000000022</v>
      </c>
      <c r="DY21">
        <f t="shared" si="46"/>
        <v>-1.1652</v>
      </c>
    </row>
    <row r="22" spans="1:129" x14ac:dyDescent="0.25">
      <c r="A22">
        <v>2000</v>
      </c>
      <c r="B22">
        <v>24.6</v>
      </c>
      <c r="C22">
        <v>31.3</v>
      </c>
      <c r="D22">
        <v>41.9</v>
      </c>
      <c r="E22">
        <v>46.1</v>
      </c>
      <c r="F22">
        <v>57.9</v>
      </c>
      <c r="G22">
        <v>66</v>
      </c>
      <c r="H22">
        <v>67.8</v>
      </c>
      <c r="I22">
        <v>67.900000000000006</v>
      </c>
      <c r="J22">
        <v>61.2</v>
      </c>
      <c r="K22">
        <v>51.1</v>
      </c>
      <c r="L22">
        <v>40.5</v>
      </c>
      <c r="M22">
        <v>26.1</v>
      </c>
      <c r="N22">
        <v>3.45</v>
      </c>
      <c r="O22">
        <v>2.59</v>
      </c>
      <c r="P22">
        <v>4.1100000000000003</v>
      </c>
      <c r="Q22">
        <v>5.0199999999999996</v>
      </c>
      <c r="R22">
        <v>4.49</v>
      </c>
      <c r="S22">
        <v>6.22</v>
      </c>
      <c r="T22">
        <v>6.23</v>
      </c>
      <c r="U22">
        <v>3.42</v>
      </c>
      <c r="V22">
        <v>4.1399999999999997</v>
      </c>
      <c r="W22">
        <v>1.1399999999999999</v>
      </c>
      <c r="X22">
        <v>3.71</v>
      </c>
      <c r="Y22">
        <v>4.22</v>
      </c>
      <c r="Z22">
        <v>1222</v>
      </c>
      <c r="AA22">
        <v>922</v>
      </c>
      <c r="AB22">
        <v>700</v>
      </c>
      <c r="AC22">
        <v>555</v>
      </c>
      <c r="AD22">
        <v>221</v>
      </c>
      <c r="AE22">
        <v>34</v>
      </c>
      <c r="AF22">
        <v>16</v>
      </c>
      <c r="AG22">
        <v>19</v>
      </c>
      <c r="AH22">
        <v>119</v>
      </c>
      <c r="AI22">
        <v>412</v>
      </c>
      <c r="AJ22">
        <v>714</v>
      </c>
      <c r="AK22">
        <v>1178</v>
      </c>
      <c r="AL22">
        <v>10</v>
      </c>
      <c r="AM22">
        <v>79</v>
      </c>
      <c r="AN22">
        <v>121</v>
      </c>
      <c r="AO22">
        <v>128</v>
      </c>
      <c r="AP22">
        <v>22</v>
      </c>
      <c r="AQ22">
        <v>0</v>
      </c>
      <c r="AS22">
        <f t="shared" si="3"/>
        <v>26.438000000000031</v>
      </c>
      <c r="AT22">
        <f t="shared" si="4"/>
        <v>29.110000000000028</v>
      </c>
      <c r="AU22">
        <f t="shared" si="5"/>
        <v>36.670000000000051</v>
      </c>
      <c r="AV22">
        <f t="shared" si="6"/>
        <v>47.553000000000068</v>
      </c>
      <c r="AW22">
        <f t="shared" si="7"/>
        <v>57.939000000000014</v>
      </c>
      <c r="AX22">
        <f t="shared" si="8"/>
        <v>66.414999999999907</v>
      </c>
      <c r="AY22">
        <f t="shared" si="9"/>
        <v>71.928000000000054</v>
      </c>
      <c r="AZ22">
        <f t="shared" si="10"/>
        <v>70.128000000000043</v>
      </c>
      <c r="BA22">
        <f t="shared" si="11"/>
        <v>62.889000000000038</v>
      </c>
      <c r="BB22">
        <f t="shared" si="12"/>
        <v>51.661999999999956</v>
      </c>
      <c r="BC22">
        <f t="shared" si="13"/>
        <v>41.77500000000002</v>
      </c>
      <c r="BD22">
        <f t="shared" si="14"/>
        <v>31.928999999999995</v>
      </c>
      <c r="BE22">
        <f t="shared" si="15"/>
        <v>3.5801000000000016</v>
      </c>
      <c r="BF22">
        <f t="shared" si="16"/>
        <v>3.1544999999999974</v>
      </c>
      <c r="BG22">
        <f t="shared" si="17"/>
        <v>5.0494000000000039</v>
      </c>
      <c r="BH22">
        <f t="shared" si="18"/>
        <v>5.5761000000000047</v>
      </c>
      <c r="BI22">
        <f t="shared" si="19"/>
        <v>4.8556000000000044</v>
      </c>
      <c r="BJ22">
        <f t="shared" si="20"/>
        <v>4.4560999999999922</v>
      </c>
      <c r="BK22">
        <f t="shared" si="21"/>
        <v>4.147740000000006</v>
      </c>
      <c r="BL22">
        <f t="shared" si="22"/>
        <v>4.1399000000000052</v>
      </c>
      <c r="BM22">
        <f t="shared" si="23"/>
        <v>4.0187999999999988</v>
      </c>
      <c r="BN22">
        <f t="shared" si="24"/>
        <v>4.6245999999999938</v>
      </c>
      <c r="BO22">
        <f t="shared" si="25"/>
        <v>4.0338000000000021</v>
      </c>
      <c r="BP22">
        <f t="shared" si="26"/>
        <v>3.9368999999999956</v>
      </c>
      <c r="BQ22">
        <f t="shared" si="27"/>
        <v>1224.6100000000015</v>
      </c>
      <c r="BR22">
        <f t="shared" si="28"/>
        <v>937.59400000000096</v>
      </c>
      <c r="BS22">
        <f t="shared" si="29"/>
        <v>862.09399999999982</v>
      </c>
      <c r="BT22">
        <f t="shared" si="30"/>
        <v>518.81399999999951</v>
      </c>
      <c r="BU22">
        <f t="shared" si="31"/>
        <v>228.51000000000002</v>
      </c>
      <c r="BV22">
        <f t="shared" si="32"/>
        <v>33.256000000000029</v>
      </c>
      <c r="BW22">
        <f t="shared" si="33"/>
        <v>2.2046000000000028</v>
      </c>
      <c r="BX22">
        <f t="shared" si="34"/>
        <v>8.5379999999999825</v>
      </c>
      <c r="BY22">
        <f t="shared" si="35"/>
        <v>88.383999999999986</v>
      </c>
      <c r="BZ22">
        <f t="shared" si="36"/>
        <v>386.71400000000011</v>
      </c>
      <c r="CA22">
        <f t="shared" si="37"/>
        <v>676.24199999999917</v>
      </c>
      <c r="CB22">
        <f t="shared" si="38"/>
        <v>999.45399999999916</v>
      </c>
      <c r="CC22">
        <f t="shared" si="39"/>
        <v>12.79530000000001</v>
      </c>
      <c r="CD22">
        <f t="shared" si="40"/>
        <v>87.949000000000112</v>
      </c>
      <c r="CE22">
        <f t="shared" si="41"/>
        <v>233.17800000000011</v>
      </c>
      <c r="CF22">
        <f t="shared" si="42"/>
        <v>188.00000000000026</v>
      </c>
      <c r="CG22">
        <f t="shared" si="43"/>
        <v>43.647999999999975</v>
      </c>
      <c r="CH22">
        <f t="shared" si="44"/>
        <v>1.254</v>
      </c>
      <c r="CJ22">
        <f t="shared" si="2"/>
        <v>-1.8380000000000294</v>
      </c>
      <c r="CK22">
        <f t="shared" si="47"/>
        <v>2.1899999999999729</v>
      </c>
      <c r="CL22">
        <f t="shared" si="48"/>
        <v>5.2299999999999471</v>
      </c>
      <c r="CM22">
        <f t="shared" si="49"/>
        <v>-1.4530000000000669</v>
      </c>
      <c r="CN22">
        <f t="shared" si="50"/>
        <v>-3.9000000000015689E-2</v>
      </c>
      <c r="CO22">
        <f t="shared" si="51"/>
        <v>-0.41499999999990678</v>
      </c>
      <c r="CP22">
        <f t="shared" si="52"/>
        <v>-4.128000000000057</v>
      </c>
      <c r="CQ22">
        <f t="shared" si="53"/>
        <v>-2.2280000000000371</v>
      </c>
      <c r="CR22">
        <f t="shared" si="54"/>
        <v>-1.6890000000000356</v>
      </c>
      <c r="CS22">
        <f t="shared" si="55"/>
        <v>-0.56199999999995498</v>
      </c>
      <c r="CT22">
        <f t="shared" si="56"/>
        <v>-1.2750000000000199</v>
      </c>
      <c r="CU22">
        <f t="shared" si="57"/>
        <v>-5.8289999999999935</v>
      </c>
      <c r="CV22">
        <f t="shared" si="58"/>
        <v>-0.13010000000000144</v>
      </c>
      <c r="CW22">
        <f t="shared" si="59"/>
        <v>-0.56449999999999756</v>
      </c>
      <c r="CX22">
        <f t="shared" si="60"/>
        <v>-0.93940000000000357</v>
      </c>
      <c r="CY22">
        <f t="shared" si="61"/>
        <v>-0.55610000000000515</v>
      </c>
      <c r="CZ22">
        <f t="shared" si="62"/>
        <v>-0.36560000000000414</v>
      </c>
      <c r="DA22">
        <f t="shared" si="63"/>
        <v>1.7639000000000076</v>
      </c>
      <c r="DB22">
        <f t="shared" si="64"/>
        <v>2.0822599999999944</v>
      </c>
      <c r="DC22">
        <f t="shared" si="65"/>
        <v>-0.71990000000000531</v>
      </c>
      <c r="DD22">
        <f t="shared" si="66"/>
        <v>0.12120000000000086</v>
      </c>
      <c r="DE22">
        <f t="shared" si="67"/>
        <v>-3.4845999999999941</v>
      </c>
      <c r="DF22">
        <f t="shared" si="68"/>
        <v>-0.32380000000000209</v>
      </c>
      <c r="DG22">
        <f t="shared" si="69"/>
        <v>0.28310000000000413</v>
      </c>
      <c r="DH22">
        <f t="shared" si="70"/>
        <v>-2.6100000000014916</v>
      </c>
      <c r="DI22">
        <f t="shared" si="71"/>
        <v>-15.59400000000096</v>
      </c>
      <c r="DJ22">
        <f t="shared" si="72"/>
        <v>-162.09399999999982</v>
      </c>
      <c r="DK22">
        <f t="shared" si="73"/>
        <v>36.18600000000049</v>
      </c>
      <c r="DL22">
        <f t="shared" si="74"/>
        <v>-7.5100000000000193</v>
      </c>
      <c r="DM22">
        <f t="shared" si="75"/>
        <v>0.74399999999997135</v>
      </c>
      <c r="DN22">
        <f t="shared" si="76"/>
        <v>13.795399999999997</v>
      </c>
      <c r="DO22">
        <f t="shared" si="77"/>
        <v>10.462000000000018</v>
      </c>
      <c r="DP22">
        <f t="shared" si="78"/>
        <v>30.616000000000014</v>
      </c>
      <c r="DQ22">
        <f t="shared" si="79"/>
        <v>25.285999999999888</v>
      </c>
      <c r="DR22">
        <f t="shared" si="80"/>
        <v>37.758000000000834</v>
      </c>
      <c r="DS22">
        <f t="shared" si="81"/>
        <v>178.54600000000084</v>
      </c>
      <c r="DT22">
        <f t="shared" si="82"/>
        <v>-2.7953000000000099</v>
      </c>
      <c r="DU22">
        <f t="shared" si="83"/>
        <v>-8.9490000000001118</v>
      </c>
      <c r="DV22">
        <f t="shared" si="84"/>
        <v>-112.17800000000011</v>
      </c>
      <c r="DW22">
        <f t="shared" si="85"/>
        <v>-60.000000000000256</v>
      </c>
      <c r="DX22">
        <f t="shared" si="45"/>
        <v>-21.647999999999975</v>
      </c>
      <c r="DY22">
        <f t="shared" si="46"/>
        <v>-1.254</v>
      </c>
    </row>
    <row r="23" spans="1:129" x14ac:dyDescent="0.25">
      <c r="A23">
        <v>2001</v>
      </c>
      <c r="B23">
        <v>25.8</v>
      </c>
      <c r="C23">
        <v>29.5</v>
      </c>
      <c r="D23">
        <v>34.1</v>
      </c>
      <c r="E23">
        <v>47.9</v>
      </c>
      <c r="F23">
        <v>58.9</v>
      </c>
      <c r="G23">
        <v>68.099999999999994</v>
      </c>
      <c r="H23">
        <v>68.2</v>
      </c>
      <c r="I23">
        <v>72.8</v>
      </c>
      <c r="J23">
        <v>62.5</v>
      </c>
      <c r="K23">
        <v>52.7</v>
      </c>
      <c r="L23">
        <v>45.3</v>
      </c>
      <c r="M23">
        <v>37.1</v>
      </c>
      <c r="N23">
        <v>2.4500000000000002</v>
      </c>
      <c r="O23">
        <v>2.56</v>
      </c>
      <c r="P23">
        <v>7.68</v>
      </c>
      <c r="Q23">
        <v>1.59</v>
      </c>
      <c r="R23">
        <v>4.1100000000000003</v>
      </c>
      <c r="S23">
        <v>6.4</v>
      </c>
      <c r="T23">
        <v>2.19</v>
      </c>
      <c r="U23">
        <v>3.84</v>
      </c>
      <c r="V23">
        <v>3.93</v>
      </c>
      <c r="W23">
        <v>1.26</v>
      </c>
      <c r="X23">
        <v>1.08</v>
      </c>
      <c r="Y23">
        <v>2.4500000000000002</v>
      </c>
      <c r="Z23">
        <v>1191</v>
      </c>
      <c r="AA23">
        <v>971</v>
      </c>
      <c r="AB23">
        <v>935</v>
      </c>
      <c r="AC23">
        <v>497</v>
      </c>
      <c r="AD23">
        <v>192</v>
      </c>
      <c r="AE23">
        <v>15</v>
      </c>
      <c r="AF23">
        <v>13</v>
      </c>
      <c r="AG23">
        <v>0</v>
      </c>
      <c r="AH23">
        <v>92</v>
      </c>
      <c r="AI23">
        <v>361</v>
      </c>
      <c r="AJ23">
        <v>569</v>
      </c>
      <c r="AK23">
        <v>837</v>
      </c>
      <c r="AL23">
        <v>15</v>
      </c>
      <c r="AM23">
        <v>126</v>
      </c>
      <c r="AN23">
        <v>132</v>
      </c>
      <c r="AO23">
        <v>262</v>
      </c>
      <c r="AP23">
        <v>35</v>
      </c>
      <c r="AQ23">
        <v>0</v>
      </c>
      <c r="AS23">
        <f t="shared" si="3"/>
        <v>26.528800000000032</v>
      </c>
      <c r="AT23">
        <f t="shared" si="4"/>
        <v>29.127700000000029</v>
      </c>
      <c r="AU23">
        <f t="shared" si="5"/>
        <v>36.690200000000054</v>
      </c>
      <c r="AV23">
        <f t="shared" si="6"/>
        <v>47.583500000000072</v>
      </c>
      <c r="AW23">
        <f t="shared" si="7"/>
        <v>57.987400000000015</v>
      </c>
      <c r="AX23">
        <f t="shared" si="8"/>
        <v>66.459799999999902</v>
      </c>
      <c r="AY23">
        <f t="shared" si="9"/>
        <v>71.986300000000057</v>
      </c>
      <c r="AZ23">
        <f t="shared" si="10"/>
        <v>70.177300000000045</v>
      </c>
      <c r="BA23">
        <f t="shared" si="11"/>
        <v>63.00400000000004</v>
      </c>
      <c r="BB23">
        <f t="shared" si="12"/>
        <v>51.771099999999954</v>
      </c>
      <c r="BC23">
        <f t="shared" si="13"/>
        <v>41.827900000000021</v>
      </c>
      <c r="BD23">
        <f t="shared" si="14"/>
        <v>32.043399999999998</v>
      </c>
      <c r="BE23">
        <f t="shared" si="15"/>
        <v>3.5835000000000017</v>
      </c>
      <c r="BF23">
        <f t="shared" si="16"/>
        <v>3.1575999999999973</v>
      </c>
      <c r="BG23">
        <f t="shared" si="17"/>
        <v>5.0718000000000041</v>
      </c>
      <c r="BH23">
        <f t="shared" si="18"/>
        <v>5.6084000000000049</v>
      </c>
      <c r="BI23">
        <f t="shared" si="19"/>
        <v>4.8757000000000046</v>
      </c>
      <c r="BJ23">
        <f t="shared" si="20"/>
        <v>4.4737999999999918</v>
      </c>
      <c r="BK23">
        <f t="shared" si="21"/>
        <v>4.1477420000000063</v>
      </c>
      <c r="BL23">
        <f t="shared" si="22"/>
        <v>4.1504000000000056</v>
      </c>
      <c r="BM23">
        <f t="shared" si="23"/>
        <v>4.0397999999999987</v>
      </c>
      <c r="BN23">
        <f t="shared" si="24"/>
        <v>4.6555999999999935</v>
      </c>
      <c r="BO23">
        <f t="shared" si="25"/>
        <v>3.9682000000000022</v>
      </c>
      <c r="BP23">
        <f t="shared" si="26"/>
        <v>3.9649999999999954</v>
      </c>
      <c r="BQ23">
        <f t="shared" si="27"/>
        <v>1224.6405000000016</v>
      </c>
      <c r="BR23">
        <f t="shared" si="28"/>
        <v>934.82070000000101</v>
      </c>
      <c r="BS23">
        <f t="shared" si="29"/>
        <v>861.63569999999982</v>
      </c>
      <c r="BT23">
        <f t="shared" si="30"/>
        <v>518.22169999999949</v>
      </c>
      <c r="BU23">
        <f t="shared" si="31"/>
        <v>227.54000000000002</v>
      </c>
      <c r="BV23">
        <f t="shared" si="32"/>
        <v>32.68370000000003</v>
      </c>
      <c r="BW23">
        <f t="shared" si="33"/>
        <v>2.1651000000000029</v>
      </c>
      <c r="BX23">
        <f t="shared" si="34"/>
        <v>8.2814999999999817</v>
      </c>
      <c r="BY23">
        <f t="shared" si="35"/>
        <v>86.933199999999985</v>
      </c>
      <c r="BZ23">
        <f t="shared" si="36"/>
        <v>385.17820000000012</v>
      </c>
      <c r="CA23">
        <f t="shared" si="37"/>
        <v>674.73309999999913</v>
      </c>
      <c r="CB23">
        <f t="shared" si="38"/>
        <v>995.93169999999918</v>
      </c>
      <c r="CC23">
        <f t="shared" si="39"/>
        <v>13.085400000000011</v>
      </c>
      <c r="CD23">
        <f t="shared" si="40"/>
        <v>88.688900000000118</v>
      </c>
      <c r="CE23">
        <f t="shared" si="41"/>
        <v>234.91790000000012</v>
      </c>
      <c r="CF23">
        <f t="shared" si="42"/>
        <v>189.69900000000027</v>
      </c>
      <c r="CG23">
        <f t="shared" si="43"/>
        <v>45.102099999999972</v>
      </c>
      <c r="CH23">
        <f t="shared" si="44"/>
        <v>1.3428</v>
      </c>
      <c r="CJ23">
        <f t="shared" si="2"/>
        <v>-0.72880000000003164</v>
      </c>
      <c r="CK23">
        <f t="shared" si="47"/>
        <v>0.37229999999997077</v>
      </c>
      <c r="CL23">
        <f t="shared" si="48"/>
        <v>-2.5902000000000527</v>
      </c>
      <c r="CM23">
        <f t="shared" si="49"/>
        <v>0.31649999999992673</v>
      </c>
      <c r="CN23">
        <f t="shared" si="50"/>
        <v>0.91259999999998342</v>
      </c>
      <c r="CO23">
        <f t="shared" si="51"/>
        <v>1.6402000000000925</v>
      </c>
      <c r="CP23">
        <f t="shared" si="52"/>
        <v>-3.786300000000054</v>
      </c>
      <c r="CQ23">
        <f t="shared" si="53"/>
        <v>2.6226999999999521</v>
      </c>
      <c r="CR23">
        <f t="shared" si="54"/>
        <v>-0.50400000000004042</v>
      </c>
      <c r="CS23">
        <f t="shared" si="55"/>
        <v>0.92890000000004846</v>
      </c>
      <c r="CT23">
        <f t="shared" si="56"/>
        <v>3.4720999999999762</v>
      </c>
      <c r="CU23">
        <f t="shared" si="57"/>
        <v>5.0566000000000031</v>
      </c>
      <c r="CV23">
        <f t="shared" si="58"/>
        <v>-1.1335000000000015</v>
      </c>
      <c r="CW23">
        <f t="shared" si="59"/>
        <v>-0.59759999999999724</v>
      </c>
      <c r="CX23">
        <f t="shared" si="60"/>
        <v>2.6081999999999956</v>
      </c>
      <c r="CY23">
        <f t="shared" si="61"/>
        <v>-4.0184000000000051</v>
      </c>
      <c r="CZ23">
        <f t="shared" si="62"/>
        <v>-0.76570000000000427</v>
      </c>
      <c r="DA23">
        <f t="shared" si="63"/>
        <v>1.9262000000000086</v>
      </c>
      <c r="DB23">
        <f t="shared" si="64"/>
        <v>-1.9577420000000063</v>
      </c>
      <c r="DC23">
        <f t="shared" si="65"/>
        <v>-0.31040000000000578</v>
      </c>
      <c r="DD23">
        <f t="shared" si="66"/>
        <v>-0.10979999999999857</v>
      </c>
      <c r="DE23">
        <f t="shared" si="67"/>
        <v>-3.3955999999999937</v>
      </c>
      <c r="DF23">
        <f t="shared" si="68"/>
        <v>-2.8882000000000021</v>
      </c>
      <c r="DG23">
        <f t="shared" si="69"/>
        <v>-1.5149999999999952</v>
      </c>
      <c r="DH23">
        <f t="shared" si="70"/>
        <v>-33.640500000001566</v>
      </c>
      <c r="DI23">
        <f t="shared" si="71"/>
        <v>36.179299999998989</v>
      </c>
      <c r="DJ23">
        <f t="shared" si="72"/>
        <v>73.364300000000185</v>
      </c>
      <c r="DK23">
        <f t="shared" si="73"/>
        <v>-21.221699999999487</v>
      </c>
      <c r="DL23">
        <f t="shared" si="74"/>
        <v>-35.54000000000002</v>
      </c>
      <c r="DM23">
        <f t="shared" si="75"/>
        <v>-17.68370000000003</v>
      </c>
      <c r="DN23">
        <f t="shared" si="76"/>
        <v>10.834899999999998</v>
      </c>
      <c r="DO23">
        <f t="shared" si="77"/>
        <v>-8.2814999999999817</v>
      </c>
      <c r="DP23">
        <f t="shared" si="78"/>
        <v>5.0668000000000148</v>
      </c>
      <c r="DQ23">
        <f t="shared" si="79"/>
        <v>-24.178200000000118</v>
      </c>
      <c r="DR23">
        <f t="shared" si="80"/>
        <v>-105.73309999999913</v>
      </c>
      <c r="DS23">
        <f t="shared" si="81"/>
        <v>-158.93169999999918</v>
      </c>
      <c r="DT23">
        <f t="shared" si="82"/>
        <v>1.9145999999999894</v>
      </c>
      <c r="DU23">
        <f t="shared" si="83"/>
        <v>37.311099999999882</v>
      </c>
      <c r="DV23">
        <f t="shared" si="84"/>
        <v>-102.91790000000012</v>
      </c>
      <c r="DW23">
        <f t="shared" si="85"/>
        <v>72.300999999999732</v>
      </c>
      <c r="DX23">
        <f t="shared" si="45"/>
        <v>-10.102099999999972</v>
      </c>
      <c r="DY23">
        <f t="shared" si="46"/>
        <v>-1.3428</v>
      </c>
    </row>
    <row r="24" spans="1:129" x14ac:dyDescent="0.25">
      <c r="A24">
        <v>2002</v>
      </c>
      <c r="B24">
        <v>33.299999999999997</v>
      </c>
      <c r="C24">
        <v>34.1</v>
      </c>
      <c r="D24">
        <v>38.6</v>
      </c>
      <c r="E24">
        <v>50.1</v>
      </c>
      <c r="F24">
        <v>55.1</v>
      </c>
      <c r="G24">
        <v>65.5</v>
      </c>
      <c r="H24">
        <v>72.8</v>
      </c>
      <c r="I24">
        <v>71.900000000000006</v>
      </c>
      <c r="J24">
        <v>64.8</v>
      </c>
      <c r="K24">
        <v>49.6</v>
      </c>
      <c r="L24">
        <v>40</v>
      </c>
      <c r="M24">
        <v>29.8</v>
      </c>
      <c r="N24">
        <v>1.94</v>
      </c>
      <c r="O24">
        <v>1.67</v>
      </c>
      <c r="P24">
        <v>4.12</v>
      </c>
      <c r="Q24">
        <v>3.75</v>
      </c>
      <c r="R24">
        <v>5.21</v>
      </c>
      <c r="S24">
        <v>5.03</v>
      </c>
      <c r="T24">
        <v>2.59</v>
      </c>
      <c r="U24">
        <v>3.62</v>
      </c>
      <c r="V24">
        <v>4.82</v>
      </c>
      <c r="W24">
        <v>4.3</v>
      </c>
      <c r="X24">
        <v>5.68</v>
      </c>
      <c r="Y24">
        <v>4.6900000000000004</v>
      </c>
      <c r="Z24">
        <v>961</v>
      </c>
      <c r="AA24">
        <v>849</v>
      </c>
      <c r="AB24">
        <v>801</v>
      </c>
      <c r="AC24">
        <v>436</v>
      </c>
      <c r="AD24">
        <v>300</v>
      </c>
      <c r="AE24">
        <v>42</v>
      </c>
      <c r="AF24">
        <v>0</v>
      </c>
      <c r="AG24">
        <v>1</v>
      </c>
      <c r="AH24">
        <v>56</v>
      </c>
      <c r="AI24">
        <v>456</v>
      </c>
      <c r="AJ24">
        <v>729</v>
      </c>
      <c r="AK24">
        <v>1068</v>
      </c>
      <c r="AL24">
        <v>0</v>
      </c>
      <c r="AM24">
        <v>67</v>
      </c>
      <c r="AN24">
        <v>255</v>
      </c>
      <c r="AO24">
        <v>231</v>
      </c>
      <c r="AP24">
        <v>64</v>
      </c>
      <c r="AQ24">
        <v>0</v>
      </c>
      <c r="AS24">
        <f t="shared" si="3"/>
        <v>26.619600000000034</v>
      </c>
      <c r="AT24">
        <f t="shared" si="4"/>
        <v>29.145400000000031</v>
      </c>
      <c r="AU24">
        <f t="shared" si="5"/>
        <v>36.710400000000057</v>
      </c>
      <c r="AV24">
        <f t="shared" si="6"/>
        <v>47.614000000000075</v>
      </c>
      <c r="AW24">
        <f t="shared" si="7"/>
        <v>58.035800000000016</v>
      </c>
      <c r="AX24">
        <f t="shared" si="8"/>
        <v>66.504599999999897</v>
      </c>
      <c r="AY24">
        <f t="shared" si="9"/>
        <v>72.044600000000059</v>
      </c>
      <c r="AZ24">
        <f t="shared" si="10"/>
        <v>70.226600000000047</v>
      </c>
      <c r="BA24">
        <f t="shared" si="11"/>
        <v>63.119000000000042</v>
      </c>
      <c r="BB24">
        <f t="shared" si="12"/>
        <v>51.880199999999952</v>
      </c>
      <c r="BC24">
        <f t="shared" si="13"/>
        <v>41.880800000000022</v>
      </c>
      <c r="BD24">
        <f t="shared" si="14"/>
        <v>32.157800000000002</v>
      </c>
      <c r="BE24">
        <f t="shared" si="15"/>
        <v>3.5869000000000018</v>
      </c>
      <c r="BF24">
        <f t="shared" si="16"/>
        <v>3.1606999999999972</v>
      </c>
      <c r="BG24">
        <f t="shared" si="17"/>
        <v>5.0942000000000043</v>
      </c>
      <c r="BH24">
        <f t="shared" si="18"/>
        <v>5.6407000000000052</v>
      </c>
      <c r="BI24">
        <f t="shared" si="19"/>
        <v>4.8958000000000048</v>
      </c>
      <c r="BJ24">
        <f t="shared" si="20"/>
        <v>4.4914999999999914</v>
      </c>
      <c r="BK24">
        <f t="shared" si="21"/>
        <v>4.1477440000000065</v>
      </c>
      <c r="BL24">
        <f t="shared" si="22"/>
        <v>4.160900000000006</v>
      </c>
      <c r="BM24">
        <f t="shared" si="23"/>
        <v>4.0607999999999986</v>
      </c>
      <c r="BN24">
        <f t="shared" si="24"/>
        <v>4.6865999999999932</v>
      </c>
      <c r="BO24">
        <f t="shared" si="25"/>
        <v>3.9026000000000023</v>
      </c>
      <c r="BP24">
        <f t="shared" si="26"/>
        <v>3.9930999999999952</v>
      </c>
      <c r="BQ24">
        <f t="shared" si="27"/>
        <v>1224.6710000000016</v>
      </c>
      <c r="BR24">
        <f t="shared" si="28"/>
        <v>932.04740000000106</v>
      </c>
      <c r="BS24">
        <f t="shared" si="29"/>
        <v>861.17739999999981</v>
      </c>
      <c r="BT24">
        <f t="shared" si="30"/>
        <v>517.62939999999946</v>
      </c>
      <c r="BU24">
        <f t="shared" si="31"/>
        <v>226.57000000000002</v>
      </c>
      <c r="BV24">
        <f t="shared" si="32"/>
        <v>32.111400000000032</v>
      </c>
      <c r="BW24">
        <f t="shared" si="33"/>
        <v>2.125600000000003</v>
      </c>
      <c r="BX24">
        <f t="shared" si="34"/>
        <v>8.0249999999999808</v>
      </c>
      <c r="BY24">
        <f t="shared" si="35"/>
        <v>85.482399999999984</v>
      </c>
      <c r="BZ24">
        <f t="shared" si="36"/>
        <v>383.64240000000012</v>
      </c>
      <c r="CA24">
        <f t="shared" si="37"/>
        <v>673.22419999999909</v>
      </c>
      <c r="CB24">
        <f t="shared" si="38"/>
        <v>992.40939999999921</v>
      </c>
      <c r="CC24">
        <f t="shared" si="39"/>
        <v>13.375500000000011</v>
      </c>
      <c r="CD24">
        <f t="shared" si="40"/>
        <v>89.428800000000123</v>
      </c>
      <c r="CE24">
        <f t="shared" si="41"/>
        <v>236.65780000000012</v>
      </c>
      <c r="CF24">
        <f t="shared" si="42"/>
        <v>191.39800000000028</v>
      </c>
      <c r="CG24">
        <f t="shared" si="43"/>
        <v>46.556199999999968</v>
      </c>
      <c r="CH24">
        <f t="shared" si="44"/>
        <v>1.4316</v>
      </c>
      <c r="CJ24">
        <f t="shared" si="2"/>
        <v>6.6803999999999633</v>
      </c>
      <c r="CK24">
        <f t="shared" si="47"/>
        <v>4.9545999999999708</v>
      </c>
      <c r="CL24">
        <f t="shared" si="48"/>
        <v>1.8895999999999447</v>
      </c>
      <c r="CM24">
        <f t="shared" si="49"/>
        <v>2.485999999999926</v>
      </c>
      <c r="CN24">
        <f t="shared" si="50"/>
        <v>-2.9358000000000146</v>
      </c>
      <c r="CO24">
        <f t="shared" si="51"/>
        <v>-1.0045999999998969</v>
      </c>
      <c r="CP24">
        <f t="shared" si="52"/>
        <v>0.75539999999993768</v>
      </c>
      <c r="CQ24">
        <f t="shared" si="53"/>
        <v>1.6733999999999583</v>
      </c>
      <c r="CR24">
        <f t="shared" si="54"/>
        <v>1.6809999999999548</v>
      </c>
      <c r="CS24">
        <f t="shared" si="55"/>
        <v>-2.2801999999999509</v>
      </c>
      <c r="CT24">
        <f t="shared" si="56"/>
        <v>-1.880800000000022</v>
      </c>
      <c r="CU24">
        <f t="shared" si="57"/>
        <v>-2.357800000000001</v>
      </c>
      <c r="CV24">
        <f t="shared" si="58"/>
        <v>-1.6469000000000018</v>
      </c>
      <c r="CW24">
        <f t="shared" si="59"/>
        <v>-1.4906999999999972</v>
      </c>
      <c r="CX24">
        <f t="shared" si="60"/>
        <v>-0.97420000000000417</v>
      </c>
      <c r="CY24">
        <f t="shared" si="61"/>
        <v>-1.8907000000000052</v>
      </c>
      <c r="CZ24">
        <f t="shared" si="62"/>
        <v>0.31419999999999515</v>
      </c>
      <c r="DA24">
        <f t="shared" si="63"/>
        <v>0.53850000000000886</v>
      </c>
      <c r="DB24">
        <f t="shared" si="64"/>
        <v>-1.5577440000000067</v>
      </c>
      <c r="DC24">
        <f t="shared" si="65"/>
        <v>-0.54090000000000593</v>
      </c>
      <c r="DD24">
        <f t="shared" si="66"/>
        <v>0.75920000000000165</v>
      </c>
      <c r="DE24">
        <f t="shared" si="67"/>
        <v>-0.38659999999999339</v>
      </c>
      <c r="DF24">
        <f t="shared" si="68"/>
        <v>1.7773999999999974</v>
      </c>
      <c r="DG24">
        <f t="shared" si="69"/>
        <v>0.69690000000000518</v>
      </c>
      <c r="DH24">
        <f t="shared" si="70"/>
        <v>-263.67100000000164</v>
      </c>
      <c r="DI24">
        <f t="shared" si="71"/>
        <v>-83.047400000001062</v>
      </c>
      <c r="DJ24">
        <f t="shared" si="72"/>
        <v>-60.177399999999807</v>
      </c>
      <c r="DK24">
        <f t="shared" si="73"/>
        <v>-81.629399999999464</v>
      </c>
      <c r="DL24">
        <f t="shared" si="74"/>
        <v>73.429999999999978</v>
      </c>
      <c r="DM24">
        <f t="shared" si="75"/>
        <v>9.8885999999999683</v>
      </c>
      <c r="DN24">
        <f t="shared" si="76"/>
        <v>-2.125600000000003</v>
      </c>
      <c r="DO24">
        <f t="shared" si="77"/>
        <v>-7.0249999999999808</v>
      </c>
      <c r="DP24">
        <f t="shared" si="78"/>
        <v>-29.482399999999984</v>
      </c>
      <c r="DQ24">
        <f t="shared" si="79"/>
        <v>72.357599999999877</v>
      </c>
      <c r="DR24">
        <f t="shared" si="80"/>
        <v>55.775800000000913</v>
      </c>
      <c r="DS24">
        <f t="shared" si="81"/>
        <v>75.590600000000791</v>
      </c>
      <c r="DT24">
        <f t="shared" si="82"/>
        <v>-13.375500000000011</v>
      </c>
      <c r="DU24">
        <f t="shared" si="83"/>
        <v>-22.428800000000123</v>
      </c>
      <c r="DV24">
        <f t="shared" si="84"/>
        <v>18.342199999999877</v>
      </c>
      <c r="DW24">
        <f t="shared" si="85"/>
        <v>39.60199999999972</v>
      </c>
      <c r="DX24">
        <f t="shared" si="45"/>
        <v>17.443800000000032</v>
      </c>
      <c r="DY24">
        <f t="shared" si="46"/>
        <v>-1.4316</v>
      </c>
    </row>
    <row r="25" spans="1:129" x14ac:dyDescent="0.25">
      <c r="A25">
        <v>2003</v>
      </c>
      <c r="B25">
        <v>21.4</v>
      </c>
      <c r="C25">
        <v>23.8</v>
      </c>
      <c r="D25">
        <v>36</v>
      </c>
      <c r="E25">
        <v>44.5</v>
      </c>
      <c r="F25">
        <v>55</v>
      </c>
      <c r="G25">
        <v>64.7</v>
      </c>
      <c r="H25">
        <v>71.5</v>
      </c>
      <c r="I25">
        <v>72.2</v>
      </c>
      <c r="J25">
        <v>63.3</v>
      </c>
      <c r="K25">
        <v>49.3</v>
      </c>
      <c r="L25">
        <v>43.8</v>
      </c>
      <c r="M25">
        <v>32.4</v>
      </c>
      <c r="N25">
        <v>2.65</v>
      </c>
      <c r="O25">
        <v>3.82</v>
      </c>
      <c r="P25">
        <v>4.3</v>
      </c>
      <c r="Q25">
        <v>3.28</v>
      </c>
      <c r="R25">
        <v>4.72</v>
      </c>
      <c r="S25">
        <v>7.18</v>
      </c>
      <c r="T25">
        <v>3.01</v>
      </c>
      <c r="U25">
        <v>5.04</v>
      </c>
      <c r="V25">
        <v>7.7</v>
      </c>
      <c r="W25">
        <v>6.07</v>
      </c>
      <c r="X25">
        <v>3.17</v>
      </c>
      <c r="Y25">
        <v>5.18</v>
      </c>
      <c r="Z25">
        <v>1321</v>
      </c>
      <c r="AA25">
        <v>1137</v>
      </c>
      <c r="AB25">
        <v>884</v>
      </c>
      <c r="AC25">
        <v>606</v>
      </c>
      <c r="AD25">
        <v>310</v>
      </c>
      <c r="AE25">
        <v>56</v>
      </c>
      <c r="AF25">
        <v>0</v>
      </c>
      <c r="AG25">
        <v>1</v>
      </c>
      <c r="AH25">
        <v>77</v>
      </c>
      <c r="AI25">
        <v>464</v>
      </c>
      <c r="AJ25">
        <v>619</v>
      </c>
      <c r="AK25">
        <v>986</v>
      </c>
      <c r="AL25">
        <v>0</v>
      </c>
      <c r="AM25">
        <v>52</v>
      </c>
      <c r="AN25">
        <v>218</v>
      </c>
      <c r="AO25">
        <v>241</v>
      </c>
      <c r="AP25">
        <v>45</v>
      </c>
      <c r="AQ25">
        <v>0</v>
      </c>
      <c r="AS25">
        <f t="shared" si="3"/>
        <v>26.710400000000035</v>
      </c>
      <c r="AT25">
        <f t="shared" si="4"/>
        <v>29.163100000000032</v>
      </c>
      <c r="AU25">
        <f t="shared" si="5"/>
        <v>36.730600000000059</v>
      </c>
      <c r="AV25">
        <f t="shared" si="6"/>
        <v>47.644500000000079</v>
      </c>
      <c r="AW25">
        <f t="shared" si="7"/>
        <v>58.084200000000017</v>
      </c>
      <c r="AX25">
        <f t="shared" si="8"/>
        <v>66.549399999999892</v>
      </c>
      <c r="AY25">
        <f t="shared" si="9"/>
        <v>72.102900000000062</v>
      </c>
      <c r="AZ25">
        <f t="shared" si="10"/>
        <v>70.27590000000005</v>
      </c>
      <c r="BA25">
        <f t="shared" si="11"/>
        <v>63.234000000000044</v>
      </c>
      <c r="BB25">
        <f t="shared" si="12"/>
        <v>51.98929999999995</v>
      </c>
      <c r="BC25">
        <f t="shared" si="13"/>
        <v>41.933700000000023</v>
      </c>
      <c r="BD25">
        <f t="shared" si="14"/>
        <v>32.272200000000005</v>
      </c>
      <c r="BE25">
        <f t="shared" si="15"/>
        <v>3.5903000000000018</v>
      </c>
      <c r="BF25">
        <f t="shared" si="16"/>
        <v>3.1637999999999971</v>
      </c>
      <c r="BG25">
        <f t="shared" si="17"/>
        <v>5.1166000000000045</v>
      </c>
      <c r="BH25">
        <f t="shared" si="18"/>
        <v>5.6730000000000054</v>
      </c>
      <c r="BI25">
        <f t="shared" si="19"/>
        <v>4.915900000000005</v>
      </c>
      <c r="BJ25">
        <f t="shared" si="20"/>
        <v>4.509199999999991</v>
      </c>
      <c r="BK25">
        <f t="shared" si="21"/>
        <v>4.1477460000000068</v>
      </c>
      <c r="BL25">
        <f t="shared" si="22"/>
        <v>4.1714000000000064</v>
      </c>
      <c r="BM25">
        <f t="shared" si="23"/>
        <v>4.0817999999999985</v>
      </c>
      <c r="BN25">
        <f t="shared" si="24"/>
        <v>4.7175999999999929</v>
      </c>
      <c r="BO25">
        <f t="shared" si="25"/>
        <v>3.8370000000000024</v>
      </c>
      <c r="BP25">
        <f t="shared" si="26"/>
        <v>4.021199999999995</v>
      </c>
      <c r="BQ25">
        <f t="shared" si="27"/>
        <v>1224.7015000000017</v>
      </c>
      <c r="BR25">
        <f t="shared" si="28"/>
        <v>929.27410000000111</v>
      </c>
      <c r="BS25">
        <f t="shared" si="29"/>
        <v>860.7190999999998</v>
      </c>
      <c r="BT25">
        <f t="shared" si="30"/>
        <v>517.03709999999944</v>
      </c>
      <c r="BU25">
        <f t="shared" si="31"/>
        <v>225.60000000000002</v>
      </c>
      <c r="BV25">
        <f t="shared" si="32"/>
        <v>31.539100000000033</v>
      </c>
      <c r="BW25">
        <f t="shared" si="33"/>
        <v>2.0861000000000032</v>
      </c>
      <c r="BX25">
        <f t="shared" si="34"/>
        <v>7.7684999999999809</v>
      </c>
      <c r="BY25">
        <f t="shared" si="35"/>
        <v>84.031599999999983</v>
      </c>
      <c r="BZ25">
        <f t="shared" si="36"/>
        <v>382.10660000000013</v>
      </c>
      <c r="CA25">
        <f t="shared" si="37"/>
        <v>671.71529999999905</v>
      </c>
      <c r="CB25">
        <f t="shared" si="38"/>
        <v>988.88709999999924</v>
      </c>
      <c r="CC25">
        <f t="shared" si="39"/>
        <v>13.665600000000012</v>
      </c>
      <c r="CD25">
        <f t="shared" si="40"/>
        <v>90.168700000000129</v>
      </c>
      <c r="CE25">
        <f t="shared" si="41"/>
        <v>238.39770000000013</v>
      </c>
      <c r="CF25">
        <f t="shared" si="42"/>
        <v>193.09700000000029</v>
      </c>
      <c r="CG25">
        <f t="shared" si="43"/>
        <v>48.010299999999965</v>
      </c>
      <c r="CH25">
        <f t="shared" si="44"/>
        <v>1.5204</v>
      </c>
      <c r="CJ25">
        <f t="shared" si="2"/>
        <v>-5.3104000000000369</v>
      </c>
      <c r="CK25">
        <f t="shared" si="47"/>
        <v>-5.3631000000000313</v>
      </c>
      <c r="CL25">
        <f t="shared" si="48"/>
        <v>-0.73060000000005942</v>
      </c>
      <c r="CM25">
        <f t="shared" si="49"/>
        <v>-3.1445000000000789</v>
      </c>
      <c r="CN25">
        <f t="shared" si="50"/>
        <v>-3.0842000000000169</v>
      </c>
      <c r="CO25">
        <f t="shared" si="51"/>
        <v>-1.8493999999998891</v>
      </c>
      <c r="CP25">
        <f t="shared" si="52"/>
        <v>-0.60290000000006216</v>
      </c>
      <c r="CQ25">
        <f t="shared" si="53"/>
        <v>1.9240999999999531</v>
      </c>
      <c r="CR25">
        <f t="shared" si="54"/>
        <v>6.5999999999952763E-2</v>
      </c>
      <c r="CS25">
        <f t="shared" si="55"/>
        <v>-2.6892999999999532</v>
      </c>
      <c r="CT25">
        <f t="shared" si="56"/>
        <v>1.8662999999999741</v>
      </c>
      <c r="CU25">
        <f t="shared" si="57"/>
        <v>0.12779999999999347</v>
      </c>
      <c r="CV25">
        <f t="shared" si="58"/>
        <v>-0.94030000000000191</v>
      </c>
      <c r="CW25">
        <f t="shared" si="59"/>
        <v>0.65620000000000278</v>
      </c>
      <c r="CX25">
        <f t="shared" si="60"/>
        <v>-0.81660000000000466</v>
      </c>
      <c r="CY25">
        <f t="shared" si="61"/>
        <v>-2.3930000000000056</v>
      </c>
      <c r="CZ25">
        <f t="shared" si="62"/>
        <v>-0.19590000000000529</v>
      </c>
      <c r="DA25">
        <f t="shared" si="63"/>
        <v>2.6708000000000087</v>
      </c>
      <c r="DB25">
        <f t="shared" si="64"/>
        <v>-1.137746000000007</v>
      </c>
      <c r="DC25">
        <f t="shared" si="65"/>
        <v>0.8685999999999936</v>
      </c>
      <c r="DD25">
        <f t="shared" si="66"/>
        <v>3.6182000000000016</v>
      </c>
      <c r="DE25">
        <f t="shared" si="67"/>
        <v>1.3524000000000074</v>
      </c>
      <c r="DF25">
        <f t="shared" si="68"/>
        <v>-0.66700000000000248</v>
      </c>
      <c r="DG25">
        <f t="shared" si="69"/>
        <v>1.1588000000000047</v>
      </c>
      <c r="DH25">
        <f t="shared" si="70"/>
        <v>96.298499999998285</v>
      </c>
      <c r="DI25">
        <f t="shared" si="71"/>
        <v>207.72589999999889</v>
      </c>
      <c r="DJ25">
        <f t="shared" si="72"/>
        <v>23.280900000000202</v>
      </c>
      <c r="DK25">
        <f t="shared" si="73"/>
        <v>88.962900000000559</v>
      </c>
      <c r="DL25">
        <f t="shared" si="74"/>
        <v>84.399999999999977</v>
      </c>
      <c r="DM25">
        <f t="shared" si="75"/>
        <v>24.460899999999967</v>
      </c>
      <c r="DN25">
        <f t="shared" si="76"/>
        <v>-2.0861000000000032</v>
      </c>
      <c r="DO25">
        <f t="shared" si="77"/>
        <v>-6.7684999999999809</v>
      </c>
      <c r="DP25">
        <f t="shared" si="78"/>
        <v>-7.0315999999999832</v>
      </c>
      <c r="DQ25">
        <f t="shared" si="79"/>
        <v>81.893399999999872</v>
      </c>
      <c r="DR25">
        <f t="shared" si="80"/>
        <v>-52.715299999999047</v>
      </c>
      <c r="DS25">
        <f t="shared" si="81"/>
        <v>-2.8870999999992364</v>
      </c>
      <c r="DT25">
        <f t="shared" si="82"/>
        <v>-13.665600000000012</v>
      </c>
      <c r="DU25">
        <f t="shared" si="83"/>
        <v>-38.168700000000129</v>
      </c>
      <c r="DV25">
        <f t="shared" si="84"/>
        <v>-20.397700000000128</v>
      </c>
      <c r="DW25">
        <f t="shared" si="85"/>
        <v>47.902999999999707</v>
      </c>
      <c r="DX25">
        <f t="shared" si="45"/>
        <v>-3.0102999999999653</v>
      </c>
      <c r="DY25">
        <f t="shared" si="46"/>
        <v>-1.5204</v>
      </c>
    </row>
    <row r="26" spans="1:129" x14ac:dyDescent="0.25">
      <c r="A26">
        <v>2004</v>
      </c>
      <c r="B26">
        <v>18.7</v>
      </c>
      <c r="C26">
        <v>28.5</v>
      </c>
      <c r="D26">
        <v>38</v>
      </c>
      <c r="E26">
        <v>48</v>
      </c>
      <c r="F26">
        <v>59.9</v>
      </c>
      <c r="G26">
        <v>65</v>
      </c>
      <c r="H26">
        <v>70</v>
      </c>
      <c r="I26">
        <v>69.599999999999994</v>
      </c>
      <c r="J26">
        <v>63.8</v>
      </c>
      <c r="K26">
        <v>50.9</v>
      </c>
      <c r="L26">
        <v>41.9</v>
      </c>
      <c r="M26">
        <v>30.8</v>
      </c>
      <c r="N26">
        <v>1.89</v>
      </c>
      <c r="O26">
        <v>2.17</v>
      </c>
      <c r="P26">
        <v>2.97</v>
      </c>
      <c r="Q26">
        <v>7.02</v>
      </c>
      <c r="R26">
        <v>3.59</v>
      </c>
      <c r="S26">
        <v>1.99</v>
      </c>
      <c r="T26">
        <v>4.54</v>
      </c>
      <c r="U26">
        <v>5.52</v>
      </c>
      <c r="V26">
        <v>8.39</v>
      </c>
      <c r="W26">
        <v>2.21</v>
      </c>
      <c r="X26">
        <v>3.95</v>
      </c>
      <c r="Y26">
        <v>4.37</v>
      </c>
      <c r="Z26">
        <v>1409</v>
      </c>
      <c r="AA26">
        <v>1000</v>
      </c>
      <c r="AB26">
        <v>825</v>
      </c>
      <c r="AC26">
        <v>502</v>
      </c>
      <c r="AD26">
        <v>172</v>
      </c>
      <c r="AE26">
        <v>47</v>
      </c>
      <c r="AF26">
        <v>4</v>
      </c>
      <c r="AG26">
        <v>7</v>
      </c>
      <c r="AH26">
        <v>70</v>
      </c>
      <c r="AI26">
        <v>415</v>
      </c>
      <c r="AJ26">
        <v>673</v>
      </c>
      <c r="AK26">
        <v>1030</v>
      </c>
      <c r="AL26">
        <v>19</v>
      </c>
      <c r="AM26">
        <v>62</v>
      </c>
      <c r="AN26">
        <v>176</v>
      </c>
      <c r="AO26">
        <v>167</v>
      </c>
      <c r="AP26">
        <v>52</v>
      </c>
      <c r="AQ26">
        <v>0</v>
      </c>
      <c r="AS26">
        <f t="shared" si="3"/>
        <v>26.801200000000037</v>
      </c>
      <c r="AT26">
        <f t="shared" si="4"/>
        <v>29.180800000000033</v>
      </c>
      <c r="AU26">
        <f t="shared" si="5"/>
        <v>36.750800000000062</v>
      </c>
      <c r="AV26">
        <f t="shared" si="6"/>
        <v>47.675000000000082</v>
      </c>
      <c r="AW26">
        <f t="shared" si="7"/>
        <v>58.132600000000018</v>
      </c>
      <c r="AX26">
        <f t="shared" si="8"/>
        <v>66.594199999999887</v>
      </c>
      <c r="AY26">
        <f t="shared" si="9"/>
        <v>72.161200000000065</v>
      </c>
      <c r="AZ26">
        <f t="shared" si="10"/>
        <v>70.325200000000052</v>
      </c>
      <c r="BA26">
        <f t="shared" si="11"/>
        <v>63.349000000000046</v>
      </c>
      <c r="BB26">
        <f t="shared" si="12"/>
        <v>52.098399999999948</v>
      </c>
      <c r="BC26">
        <f t="shared" si="13"/>
        <v>41.986600000000024</v>
      </c>
      <c r="BD26">
        <f t="shared" si="14"/>
        <v>32.386600000000008</v>
      </c>
      <c r="BE26">
        <f t="shared" si="15"/>
        <v>3.5937000000000019</v>
      </c>
      <c r="BF26">
        <f t="shared" si="16"/>
        <v>3.1668999999999969</v>
      </c>
      <c r="BG26">
        <f t="shared" si="17"/>
        <v>5.1390000000000047</v>
      </c>
      <c r="BH26">
        <f t="shared" si="18"/>
        <v>5.7053000000000056</v>
      </c>
      <c r="BI26">
        <f t="shared" si="19"/>
        <v>4.9360000000000053</v>
      </c>
      <c r="BJ26">
        <f t="shared" si="20"/>
        <v>4.5268999999999906</v>
      </c>
      <c r="BK26">
        <f t="shared" si="21"/>
        <v>4.1477480000000071</v>
      </c>
      <c r="BL26">
        <f t="shared" si="22"/>
        <v>4.1819000000000068</v>
      </c>
      <c r="BM26">
        <f t="shared" si="23"/>
        <v>4.1027999999999984</v>
      </c>
      <c r="BN26">
        <f t="shared" si="24"/>
        <v>4.7485999999999926</v>
      </c>
      <c r="BO26">
        <f t="shared" si="25"/>
        <v>3.7714000000000025</v>
      </c>
      <c r="BP26">
        <f t="shared" si="26"/>
        <v>4.0492999999999952</v>
      </c>
      <c r="BQ26">
        <f t="shared" si="27"/>
        <v>1224.7320000000018</v>
      </c>
      <c r="BR26">
        <f t="shared" si="28"/>
        <v>926.50080000000116</v>
      </c>
      <c r="BS26">
        <f t="shared" si="29"/>
        <v>860.26079999999979</v>
      </c>
      <c r="BT26">
        <f t="shared" si="30"/>
        <v>516.44479999999942</v>
      </c>
      <c r="BU26">
        <f t="shared" si="31"/>
        <v>224.63000000000002</v>
      </c>
      <c r="BV26">
        <f t="shared" si="32"/>
        <v>30.966800000000035</v>
      </c>
      <c r="BW26">
        <f t="shared" si="33"/>
        <v>2.0466000000000033</v>
      </c>
      <c r="BX26">
        <f t="shared" si="34"/>
        <v>7.5119999999999809</v>
      </c>
      <c r="BY26">
        <f t="shared" si="35"/>
        <v>82.580799999999982</v>
      </c>
      <c r="BZ26">
        <f t="shared" si="36"/>
        <v>380.57080000000013</v>
      </c>
      <c r="CA26">
        <f t="shared" si="37"/>
        <v>670.20639999999901</v>
      </c>
      <c r="CB26">
        <f t="shared" si="38"/>
        <v>985.36479999999926</v>
      </c>
      <c r="CC26">
        <f t="shared" si="39"/>
        <v>13.955700000000013</v>
      </c>
      <c r="CD26">
        <f t="shared" si="40"/>
        <v>90.908600000000135</v>
      </c>
      <c r="CE26">
        <f t="shared" si="41"/>
        <v>240.13760000000013</v>
      </c>
      <c r="CF26">
        <f t="shared" si="42"/>
        <v>194.7960000000003</v>
      </c>
      <c r="CG26">
        <f t="shared" si="43"/>
        <v>49.464399999999962</v>
      </c>
      <c r="CH26">
        <f t="shared" si="44"/>
        <v>1.6092</v>
      </c>
      <c r="CJ26">
        <f t="shared" si="2"/>
        <v>-8.1012000000000377</v>
      </c>
      <c r="CK26">
        <f t="shared" si="47"/>
        <v>-0.68080000000003338</v>
      </c>
      <c r="CL26">
        <f t="shared" si="48"/>
        <v>1.2491999999999379</v>
      </c>
      <c r="CM26">
        <f t="shared" si="49"/>
        <v>0.32499999999991758</v>
      </c>
      <c r="CN26">
        <f t="shared" si="50"/>
        <v>1.7673999999999808</v>
      </c>
      <c r="CO26">
        <f t="shared" si="51"/>
        <v>-1.594199999999887</v>
      </c>
      <c r="CP26">
        <f t="shared" si="52"/>
        <v>-2.1612000000000648</v>
      </c>
      <c r="CQ26">
        <f t="shared" si="53"/>
        <v>-0.7252000000000578</v>
      </c>
      <c r="CR26">
        <f t="shared" si="54"/>
        <v>0.45099999999995077</v>
      </c>
      <c r="CS26">
        <f t="shared" si="55"/>
        <v>-1.1983999999999497</v>
      </c>
      <c r="CT26">
        <f t="shared" si="56"/>
        <v>-8.6600000000025545E-2</v>
      </c>
      <c r="CU26">
        <f t="shared" si="57"/>
        <v>-1.5866000000000078</v>
      </c>
      <c r="CV26">
        <f t="shared" si="58"/>
        <v>-1.703700000000002</v>
      </c>
      <c r="CW26">
        <f t="shared" si="59"/>
        <v>-0.99689999999999701</v>
      </c>
      <c r="CX26">
        <f t="shared" si="60"/>
        <v>-2.1690000000000045</v>
      </c>
      <c r="CY26">
        <f t="shared" si="61"/>
        <v>1.314699999999994</v>
      </c>
      <c r="CZ26">
        <f t="shared" si="62"/>
        <v>-1.3460000000000054</v>
      </c>
      <c r="DA26">
        <f t="shared" si="63"/>
        <v>-2.5368999999999904</v>
      </c>
      <c r="DB26">
        <f t="shared" si="64"/>
        <v>0.39225199999999294</v>
      </c>
      <c r="DC26">
        <f t="shared" si="65"/>
        <v>1.3380999999999927</v>
      </c>
      <c r="DD26">
        <f t="shared" si="66"/>
        <v>4.2872000000000021</v>
      </c>
      <c r="DE26">
        <f t="shared" si="67"/>
        <v>-2.5385999999999926</v>
      </c>
      <c r="DF26">
        <f t="shared" si="68"/>
        <v>0.17859999999999765</v>
      </c>
      <c r="DG26">
        <f t="shared" si="69"/>
        <v>0.32070000000000487</v>
      </c>
      <c r="DH26">
        <f t="shared" si="70"/>
        <v>184.26799999999821</v>
      </c>
      <c r="DI26">
        <f t="shared" si="71"/>
        <v>73.499199999998837</v>
      </c>
      <c r="DJ26">
        <f t="shared" si="72"/>
        <v>-35.26079999999979</v>
      </c>
      <c r="DK26">
        <f t="shared" si="73"/>
        <v>-14.444799999999418</v>
      </c>
      <c r="DL26">
        <f t="shared" si="74"/>
        <v>-52.630000000000024</v>
      </c>
      <c r="DM26">
        <f t="shared" si="75"/>
        <v>16.033199999999965</v>
      </c>
      <c r="DN26">
        <f t="shared" si="76"/>
        <v>1.9533999999999967</v>
      </c>
      <c r="DO26">
        <f t="shared" si="77"/>
        <v>-0.51199999999998091</v>
      </c>
      <c r="DP26">
        <f t="shared" si="78"/>
        <v>-12.580799999999982</v>
      </c>
      <c r="DQ26">
        <f t="shared" si="79"/>
        <v>34.429199999999867</v>
      </c>
      <c r="DR26">
        <f t="shared" si="80"/>
        <v>2.7936000000009926</v>
      </c>
      <c r="DS26">
        <f t="shared" si="81"/>
        <v>44.635200000000737</v>
      </c>
      <c r="DT26">
        <f t="shared" si="82"/>
        <v>5.0442999999999873</v>
      </c>
      <c r="DU26">
        <f t="shared" si="83"/>
        <v>-28.908600000000135</v>
      </c>
      <c r="DV26">
        <f t="shared" si="84"/>
        <v>-64.137600000000134</v>
      </c>
      <c r="DW26">
        <f t="shared" si="85"/>
        <v>-27.796000000000305</v>
      </c>
      <c r="DX26">
        <f t="shared" si="45"/>
        <v>2.5356000000000378</v>
      </c>
      <c r="DY26">
        <f t="shared" si="46"/>
        <v>-1.6092</v>
      </c>
    </row>
    <row r="27" spans="1:129" x14ac:dyDescent="0.25">
      <c r="A27">
        <v>2005</v>
      </c>
      <c r="B27">
        <v>24.3</v>
      </c>
      <c r="C27">
        <v>29.7</v>
      </c>
      <c r="D27">
        <v>32.299999999999997</v>
      </c>
      <c r="E27">
        <v>49.3</v>
      </c>
      <c r="F27">
        <v>53.1</v>
      </c>
      <c r="G27">
        <v>69.599999999999994</v>
      </c>
      <c r="H27">
        <v>72.400000000000006</v>
      </c>
      <c r="I27">
        <v>73</v>
      </c>
      <c r="J27">
        <v>66</v>
      </c>
      <c r="K27">
        <v>52.7</v>
      </c>
      <c r="L27">
        <v>43</v>
      </c>
      <c r="M27">
        <v>28.7</v>
      </c>
      <c r="N27">
        <v>4.8499999999999996</v>
      </c>
      <c r="O27">
        <v>2.4900000000000002</v>
      </c>
      <c r="P27">
        <v>4.01</v>
      </c>
      <c r="Q27">
        <v>5.5</v>
      </c>
      <c r="R27">
        <v>2.59</v>
      </c>
      <c r="S27">
        <v>2.39</v>
      </c>
      <c r="T27">
        <v>3.62</v>
      </c>
      <c r="U27">
        <v>2.0499999999999998</v>
      </c>
      <c r="V27">
        <v>2.39</v>
      </c>
      <c r="W27">
        <v>15.92</v>
      </c>
      <c r="X27">
        <v>4.6399999999999997</v>
      </c>
      <c r="Y27">
        <v>4.2300000000000004</v>
      </c>
      <c r="Z27">
        <v>1236</v>
      </c>
      <c r="AA27">
        <v>973</v>
      </c>
      <c r="AB27">
        <v>996</v>
      </c>
      <c r="AC27">
        <v>464</v>
      </c>
      <c r="AD27">
        <v>360</v>
      </c>
      <c r="AE27">
        <v>8</v>
      </c>
      <c r="AF27">
        <v>0</v>
      </c>
      <c r="AG27">
        <v>0</v>
      </c>
      <c r="AH27">
        <v>39</v>
      </c>
      <c r="AI27">
        <v>365</v>
      </c>
      <c r="AJ27">
        <v>640</v>
      </c>
      <c r="AK27">
        <v>1099</v>
      </c>
      <c r="AL27">
        <v>0</v>
      </c>
      <c r="AM27">
        <v>151</v>
      </c>
      <c r="AN27">
        <v>243</v>
      </c>
      <c r="AO27">
        <v>269</v>
      </c>
      <c r="AP27">
        <v>87</v>
      </c>
      <c r="AQ27">
        <v>0</v>
      </c>
      <c r="AS27">
        <f t="shared" si="3"/>
        <v>26.892000000000039</v>
      </c>
      <c r="AT27">
        <f t="shared" si="4"/>
        <v>29.198500000000035</v>
      </c>
      <c r="AU27">
        <f t="shared" si="5"/>
        <v>36.771000000000065</v>
      </c>
      <c r="AV27">
        <f t="shared" si="6"/>
        <v>47.705500000000086</v>
      </c>
      <c r="AW27">
        <f t="shared" si="7"/>
        <v>58.181000000000019</v>
      </c>
      <c r="AX27">
        <f t="shared" si="8"/>
        <v>66.638999999999882</v>
      </c>
      <c r="AY27">
        <f t="shared" si="9"/>
        <v>72.219500000000068</v>
      </c>
      <c r="AZ27">
        <f t="shared" si="10"/>
        <v>70.374500000000054</v>
      </c>
      <c r="BA27">
        <f t="shared" si="11"/>
        <v>63.464000000000048</v>
      </c>
      <c r="BB27">
        <f t="shared" si="12"/>
        <v>52.207499999999946</v>
      </c>
      <c r="BC27">
        <f t="shared" si="13"/>
        <v>42.039500000000025</v>
      </c>
      <c r="BD27">
        <f t="shared" si="14"/>
        <v>32.501000000000012</v>
      </c>
      <c r="BE27">
        <f t="shared" si="15"/>
        <v>3.597100000000002</v>
      </c>
      <c r="BF27">
        <f t="shared" si="16"/>
        <v>3.1699999999999968</v>
      </c>
      <c r="BG27">
        <f t="shared" si="17"/>
        <v>5.1614000000000049</v>
      </c>
      <c r="BH27">
        <f t="shared" si="18"/>
        <v>5.7376000000000058</v>
      </c>
      <c r="BI27">
        <f t="shared" si="19"/>
        <v>4.9561000000000055</v>
      </c>
      <c r="BJ27">
        <f t="shared" si="20"/>
        <v>4.5445999999999902</v>
      </c>
      <c r="BK27">
        <f t="shared" si="21"/>
        <v>4.1477500000000074</v>
      </c>
      <c r="BL27">
        <f t="shared" si="22"/>
        <v>4.1924000000000072</v>
      </c>
      <c r="BM27">
        <f t="shared" si="23"/>
        <v>4.1237999999999984</v>
      </c>
      <c r="BN27">
        <f t="shared" si="24"/>
        <v>4.7795999999999923</v>
      </c>
      <c r="BO27">
        <f t="shared" si="25"/>
        <v>3.7058000000000026</v>
      </c>
      <c r="BP27">
        <f t="shared" si="26"/>
        <v>4.0773999999999955</v>
      </c>
      <c r="BQ27">
        <f t="shared" si="27"/>
        <v>1224.7625000000019</v>
      </c>
      <c r="BR27">
        <f t="shared" si="28"/>
        <v>923.72750000000121</v>
      </c>
      <c r="BS27">
        <f t="shared" si="29"/>
        <v>859.80249999999978</v>
      </c>
      <c r="BT27">
        <f t="shared" si="30"/>
        <v>515.8524999999994</v>
      </c>
      <c r="BU27">
        <f t="shared" si="31"/>
        <v>223.66000000000003</v>
      </c>
      <c r="BV27">
        <f t="shared" si="32"/>
        <v>30.394500000000036</v>
      </c>
      <c r="BW27">
        <f t="shared" si="33"/>
        <v>2.0071000000000034</v>
      </c>
      <c r="BX27">
        <f t="shared" si="34"/>
        <v>7.255499999999981</v>
      </c>
      <c r="BY27">
        <f t="shared" si="35"/>
        <v>81.129999999999981</v>
      </c>
      <c r="BZ27">
        <f t="shared" si="36"/>
        <v>379.03500000000014</v>
      </c>
      <c r="CA27">
        <f t="shared" si="37"/>
        <v>668.69749999999897</v>
      </c>
      <c r="CB27">
        <f t="shared" si="38"/>
        <v>981.84249999999929</v>
      </c>
      <c r="CC27">
        <f t="shared" si="39"/>
        <v>14.245800000000013</v>
      </c>
      <c r="CD27">
        <f t="shared" si="40"/>
        <v>91.648500000000141</v>
      </c>
      <c r="CE27">
        <f t="shared" si="41"/>
        <v>241.87750000000014</v>
      </c>
      <c r="CF27">
        <f t="shared" si="42"/>
        <v>196.49500000000032</v>
      </c>
      <c r="CG27">
        <f t="shared" si="43"/>
        <v>50.918499999999959</v>
      </c>
      <c r="CH27">
        <f t="shared" si="44"/>
        <v>1.698</v>
      </c>
      <c r="CJ27">
        <f t="shared" si="2"/>
        <v>-2.5920000000000378</v>
      </c>
      <c r="CK27">
        <f t="shared" si="47"/>
        <v>0.50149999999996453</v>
      </c>
      <c r="CL27">
        <f t="shared" si="48"/>
        <v>-4.4710000000000676</v>
      </c>
      <c r="CM27">
        <f t="shared" si="49"/>
        <v>1.5944999999999112</v>
      </c>
      <c r="CN27">
        <f t="shared" si="50"/>
        <v>-5.0810000000000173</v>
      </c>
      <c r="CO27">
        <f t="shared" si="51"/>
        <v>2.9610000000001122</v>
      </c>
      <c r="CP27">
        <f t="shared" si="52"/>
        <v>0.18049999999993815</v>
      </c>
      <c r="CQ27">
        <f t="shared" si="53"/>
        <v>2.6254999999999455</v>
      </c>
      <c r="CR27">
        <f t="shared" si="54"/>
        <v>2.5359999999999516</v>
      </c>
      <c r="CS27">
        <f t="shared" si="55"/>
        <v>0.49250000000005656</v>
      </c>
      <c r="CT27">
        <f t="shared" si="56"/>
        <v>0.96049999999997482</v>
      </c>
      <c r="CU27">
        <f t="shared" si="57"/>
        <v>-3.8010000000000126</v>
      </c>
      <c r="CV27">
        <f t="shared" si="58"/>
        <v>1.2528999999999977</v>
      </c>
      <c r="CW27">
        <f t="shared" si="59"/>
        <v>-0.67999999999999661</v>
      </c>
      <c r="CX27">
        <f t="shared" si="60"/>
        <v>-1.1514000000000051</v>
      </c>
      <c r="CY27">
        <f t="shared" si="61"/>
        <v>-0.23760000000000581</v>
      </c>
      <c r="CZ27">
        <f t="shared" si="62"/>
        <v>-2.3661000000000056</v>
      </c>
      <c r="DA27">
        <f t="shared" si="63"/>
        <v>-2.1545999999999901</v>
      </c>
      <c r="DB27">
        <f t="shared" si="64"/>
        <v>-0.52775000000000727</v>
      </c>
      <c r="DC27">
        <f t="shared" si="65"/>
        <v>-2.1424000000000074</v>
      </c>
      <c r="DD27">
        <f t="shared" si="66"/>
        <v>-1.7337999999999982</v>
      </c>
      <c r="DE27">
        <f t="shared" si="67"/>
        <v>11.140400000000007</v>
      </c>
      <c r="DF27">
        <f t="shared" si="68"/>
        <v>0.93419999999999703</v>
      </c>
      <c r="DG27">
        <f t="shared" si="69"/>
        <v>0.15260000000000495</v>
      </c>
      <c r="DH27">
        <f t="shared" si="70"/>
        <v>11.237499999998136</v>
      </c>
      <c r="DI27">
        <f t="shared" si="71"/>
        <v>49.272499999998786</v>
      </c>
      <c r="DJ27">
        <f t="shared" si="72"/>
        <v>136.19750000000022</v>
      </c>
      <c r="DK27">
        <f t="shared" si="73"/>
        <v>-51.852499999999395</v>
      </c>
      <c r="DL27">
        <f t="shared" si="74"/>
        <v>136.33999999999997</v>
      </c>
      <c r="DM27">
        <f t="shared" si="75"/>
        <v>-22.394500000000036</v>
      </c>
      <c r="DN27">
        <f t="shared" si="76"/>
        <v>-2.0071000000000034</v>
      </c>
      <c r="DO27">
        <f t="shared" si="77"/>
        <v>-7.255499999999981</v>
      </c>
      <c r="DP27">
        <f t="shared" si="78"/>
        <v>-42.129999999999981</v>
      </c>
      <c r="DQ27">
        <f t="shared" si="79"/>
        <v>-14.035000000000139</v>
      </c>
      <c r="DR27">
        <f t="shared" si="80"/>
        <v>-28.697499999998968</v>
      </c>
      <c r="DS27">
        <f t="shared" si="81"/>
        <v>117.15750000000071</v>
      </c>
      <c r="DT27">
        <f t="shared" si="82"/>
        <v>-14.245800000000013</v>
      </c>
      <c r="DU27">
        <f t="shared" si="83"/>
        <v>59.351499999999859</v>
      </c>
      <c r="DV27">
        <f t="shared" si="84"/>
        <v>1.1224999999998602</v>
      </c>
      <c r="DW27">
        <f t="shared" si="85"/>
        <v>72.504999999999683</v>
      </c>
      <c r="DX27">
        <f t="shared" si="45"/>
        <v>36.081500000000041</v>
      </c>
      <c r="DY27">
        <f t="shared" si="46"/>
        <v>-1.698</v>
      </c>
    </row>
    <row r="28" spans="1:129" x14ac:dyDescent="0.25">
      <c r="A28">
        <v>2006</v>
      </c>
      <c r="B28">
        <v>33.700000000000003</v>
      </c>
      <c r="C28">
        <v>29.5</v>
      </c>
      <c r="D28">
        <v>36.700000000000003</v>
      </c>
      <c r="E28">
        <v>49</v>
      </c>
      <c r="F28">
        <v>57.2</v>
      </c>
      <c r="G28">
        <v>67.099999999999994</v>
      </c>
      <c r="H28">
        <v>74.099999999999994</v>
      </c>
      <c r="I28">
        <v>69.8</v>
      </c>
      <c r="J28">
        <v>61.2</v>
      </c>
      <c r="K28">
        <v>51</v>
      </c>
      <c r="L28">
        <v>46.3</v>
      </c>
      <c r="M28">
        <v>38</v>
      </c>
      <c r="N28">
        <v>5.91</v>
      </c>
      <c r="O28">
        <v>2.48</v>
      </c>
      <c r="P28">
        <v>0.72</v>
      </c>
      <c r="Q28">
        <v>4.84</v>
      </c>
      <c r="R28">
        <v>7.17</v>
      </c>
      <c r="S28">
        <v>9.2100000000000009</v>
      </c>
      <c r="T28">
        <v>3.15</v>
      </c>
      <c r="U28">
        <v>5.26</v>
      </c>
      <c r="V28">
        <v>3</v>
      </c>
      <c r="W28">
        <v>7.06</v>
      </c>
      <c r="X28">
        <v>6.08</v>
      </c>
      <c r="Y28">
        <v>2.13</v>
      </c>
      <c r="Z28">
        <v>949</v>
      </c>
      <c r="AA28">
        <v>976</v>
      </c>
      <c r="AB28">
        <v>863</v>
      </c>
      <c r="AC28">
        <v>469</v>
      </c>
      <c r="AD28">
        <v>238</v>
      </c>
      <c r="AE28">
        <v>23</v>
      </c>
      <c r="AF28">
        <v>0</v>
      </c>
      <c r="AG28">
        <v>7</v>
      </c>
      <c r="AH28">
        <v>120</v>
      </c>
      <c r="AI28">
        <v>416</v>
      </c>
      <c r="AJ28">
        <v>544</v>
      </c>
      <c r="AK28">
        <v>816</v>
      </c>
      <c r="AL28">
        <v>8</v>
      </c>
      <c r="AM28">
        <v>98</v>
      </c>
      <c r="AN28">
        <v>295</v>
      </c>
      <c r="AO28">
        <v>176</v>
      </c>
      <c r="AP28">
        <v>21</v>
      </c>
      <c r="AQ28">
        <v>0</v>
      </c>
      <c r="AS28">
        <f t="shared" si="3"/>
        <v>26.98280000000004</v>
      </c>
      <c r="AT28">
        <f t="shared" si="4"/>
        <v>29.216200000000036</v>
      </c>
      <c r="AU28">
        <f t="shared" si="5"/>
        <v>36.791200000000067</v>
      </c>
      <c r="AV28">
        <f t="shared" si="6"/>
        <v>47.736000000000089</v>
      </c>
      <c r="AW28">
        <f t="shared" si="7"/>
        <v>58.22940000000002</v>
      </c>
      <c r="AX28">
        <f t="shared" si="8"/>
        <v>66.683799999999877</v>
      </c>
      <c r="AY28">
        <f t="shared" si="9"/>
        <v>72.27780000000007</v>
      </c>
      <c r="AZ28">
        <f t="shared" si="10"/>
        <v>70.423800000000057</v>
      </c>
      <c r="BA28">
        <f t="shared" si="11"/>
        <v>63.57900000000005</v>
      </c>
      <c r="BB28">
        <f t="shared" si="12"/>
        <v>52.316599999999944</v>
      </c>
      <c r="BC28">
        <f t="shared" si="13"/>
        <v>42.092400000000026</v>
      </c>
      <c r="BD28">
        <f t="shared" si="14"/>
        <v>32.615400000000015</v>
      </c>
      <c r="BE28">
        <f t="shared" si="15"/>
        <v>3.600500000000002</v>
      </c>
      <c r="BF28">
        <f t="shared" si="16"/>
        <v>3.1730999999999967</v>
      </c>
      <c r="BG28">
        <f t="shared" si="17"/>
        <v>5.1838000000000051</v>
      </c>
      <c r="BH28">
        <f t="shared" si="18"/>
        <v>5.769900000000006</v>
      </c>
      <c r="BI28">
        <f t="shared" si="19"/>
        <v>4.9762000000000057</v>
      </c>
      <c r="BJ28">
        <f t="shared" si="20"/>
        <v>4.5622999999999898</v>
      </c>
      <c r="BK28">
        <f t="shared" si="21"/>
        <v>4.1477520000000077</v>
      </c>
      <c r="BL28">
        <f t="shared" si="22"/>
        <v>4.2029000000000076</v>
      </c>
      <c r="BM28">
        <f t="shared" si="23"/>
        <v>4.1447999999999983</v>
      </c>
      <c r="BN28">
        <f t="shared" si="24"/>
        <v>4.810599999999992</v>
      </c>
      <c r="BO28">
        <f t="shared" si="25"/>
        <v>3.6402000000000028</v>
      </c>
      <c r="BP28">
        <f t="shared" si="26"/>
        <v>4.1054999999999957</v>
      </c>
      <c r="BQ28">
        <f t="shared" si="27"/>
        <v>1224.7930000000019</v>
      </c>
      <c r="BR28">
        <f t="shared" si="28"/>
        <v>920.95420000000126</v>
      </c>
      <c r="BS28">
        <f t="shared" si="29"/>
        <v>859.34419999999977</v>
      </c>
      <c r="BT28">
        <f t="shared" si="30"/>
        <v>515.26019999999937</v>
      </c>
      <c r="BU28">
        <f t="shared" si="31"/>
        <v>222.69000000000003</v>
      </c>
      <c r="BV28">
        <f t="shared" si="32"/>
        <v>29.822200000000038</v>
      </c>
      <c r="BW28">
        <f t="shared" si="33"/>
        <v>1.9676000000000033</v>
      </c>
      <c r="BX28">
        <f t="shared" si="34"/>
        <v>6.998999999999981</v>
      </c>
      <c r="BY28">
        <f t="shared" si="35"/>
        <v>79.67919999999998</v>
      </c>
      <c r="BZ28">
        <f t="shared" si="36"/>
        <v>377.49920000000014</v>
      </c>
      <c r="CA28">
        <f t="shared" si="37"/>
        <v>667.18859999999893</v>
      </c>
      <c r="CB28">
        <f t="shared" si="38"/>
        <v>978.32019999999932</v>
      </c>
      <c r="CC28">
        <f t="shared" si="39"/>
        <v>14.535900000000014</v>
      </c>
      <c r="CD28">
        <f t="shared" si="40"/>
        <v>92.388400000000146</v>
      </c>
      <c r="CE28">
        <f t="shared" si="41"/>
        <v>243.61740000000015</v>
      </c>
      <c r="CF28">
        <f t="shared" si="42"/>
        <v>198.19400000000033</v>
      </c>
      <c r="CG28">
        <f t="shared" si="43"/>
        <v>52.372599999999956</v>
      </c>
      <c r="CH28">
        <f t="shared" si="44"/>
        <v>1.7867999999999999</v>
      </c>
      <c r="CJ28">
        <f t="shared" si="2"/>
        <v>6.7171999999999628</v>
      </c>
      <c r="CK28">
        <f t="shared" si="47"/>
        <v>0.28379999999996386</v>
      </c>
      <c r="CL28">
        <f t="shared" si="48"/>
        <v>-9.1200000000064563E-2</v>
      </c>
      <c r="CM28">
        <f t="shared" si="49"/>
        <v>1.2639999999999105</v>
      </c>
      <c r="CN28">
        <f t="shared" si="50"/>
        <v>-1.0294000000000167</v>
      </c>
      <c r="CO28">
        <f t="shared" si="51"/>
        <v>0.41620000000011714</v>
      </c>
      <c r="CP28">
        <f t="shared" si="52"/>
        <v>1.8221999999999241</v>
      </c>
      <c r="CQ28">
        <f t="shared" si="53"/>
        <v>-0.62380000000005964</v>
      </c>
      <c r="CR28">
        <f t="shared" si="54"/>
        <v>-2.3790000000000475</v>
      </c>
      <c r="CS28">
        <f t="shared" si="55"/>
        <v>-1.3165999999999443</v>
      </c>
      <c r="CT28">
        <f t="shared" si="56"/>
        <v>4.2075999999999709</v>
      </c>
      <c r="CU28">
        <f t="shared" si="57"/>
        <v>5.3845999999999847</v>
      </c>
      <c r="CV28">
        <f t="shared" si="58"/>
        <v>2.3094999999999981</v>
      </c>
      <c r="CW28">
        <f t="shared" si="59"/>
        <v>-0.69309999999999672</v>
      </c>
      <c r="CX28">
        <f t="shared" si="60"/>
        <v>-4.4638000000000053</v>
      </c>
      <c r="CY28">
        <f t="shared" si="61"/>
        <v>-0.92990000000000617</v>
      </c>
      <c r="CZ28">
        <f t="shared" si="62"/>
        <v>2.1937999999999942</v>
      </c>
      <c r="DA28">
        <f t="shared" si="63"/>
        <v>4.647700000000011</v>
      </c>
      <c r="DB28">
        <f t="shared" si="64"/>
        <v>-0.99775200000000774</v>
      </c>
      <c r="DC28">
        <f t="shared" si="65"/>
        <v>1.0570999999999922</v>
      </c>
      <c r="DD28">
        <f t="shared" si="66"/>
        <v>-1.1447999999999983</v>
      </c>
      <c r="DE28">
        <f t="shared" si="67"/>
        <v>2.2494000000000076</v>
      </c>
      <c r="DF28">
        <f t="shared" si="68"/>
        <v>2.4397999999999973</v>
      </c>
      <c r="DG28">
        <f t="shared" si="69"/>
        <v>-1.9754999999999958</v>
      </c>
      <c r="DH28">
        <f t="shared" si="70"/>
        <v>-275.79300000000194</v>
      </c>
      <c r="DI28">
        <f t="shared" si="71"/>
        <v>55.045799999998735</v>
      </c>
      <c r="DJ28">
        <f t="shared" si="72"/>
        <v>3.6558000000002266</v>
      </c>
      <c r="DK28">
        <f t="shared" si="73"/>
        <v>-46.260199999999372</v>
      </c>
      <c r="DL28">
        <f t="shared" si="74"/>
        <v>15.309999999999974</v>
      </c>
      <c r="DM28">
        <f t="shared" si="75"/>
        <v>-6.8222000000000378</v>
      </c>
      <c r="DN28">
        <f t="shared" si="76"/>
        <v>-1.9676000000000033</v>
      </c>
      <c r="DO28">
        <f t="shared" si="77"/>
        <v>1.0000000000189857E-3</v>
      </c>
      <c r="DP28">
        <f t="shared" si="78"/>
        <v>40.32080000000002</v>
      </c>
      <c r="DQ28">
        <f t="shared" si="79"/>
        <v>38.500799999999856</v>
      </c>
      <c r="DR28">
        <f t="shared" si="80"/>
        <v>-123.18859999999893</v>
      </c>
      <c r="DS28">
        <f t="shared" si="81"/>
        <v>-162.32019999999932</v>
      </c>
      <c r="DT28">
        <f t="shared" si="82"/>
        <v>-6.535900000000014</v>
      </c>
      <c r="DU28">
        <f t="shared" si="83"/>
        <v>5.6115999999998536</v>
      </c>
      <c r="DV28">
        <f t="shared" si="84"/>
        <v>51.382599999999854</v>
      </c>
      <c r="DW28">
        <f t="shared" si="85"/>
        <v>-22.194000000000329</v>
      </c>
      <c r="DX28">
        <f t="shared" si="45"/>
        <v>-31.372599999999956</v>
      </c>
      <c r="DY28">
        <f t="shared" si="46"/>
        <v>-1.7867999999999999</v>
      </c>
    </row>
    <row r="29" spans="1:129" x14ac:dyDescent="0.25">
      <c r="A29">
        <v>2007</v>
      </c>
      <c r="B29">
        <v>31.3</v>
      </c>
      <c r="C29">
        <v>23.3</v>
      </c>
      <c r="D29">
        <v>35.1</v>
      </c>
      <c r="E29">
        <v>44.8</v>
      </c>
      <c r="F29">
        <v>59.6</v>
      </c>
      <c r="G29">
        <v>66.599999999999994</v>
      </c>
      <c r="H29">
        <v>70.900000000000006</v>
      </c>
      <c r="I29">
        <v>70.3</v>
      </c>
      <c r="J29">
        <v>64.599999999999994</v>
      </c>
      <c r="K29">
        <v>57.8</v>
      </c>
      <c r="L29">
        <v>39.9</v>
      </c>
      <c r="M29">
        <v>30.2</v>
      </c>
      <c r="N29">
        <v>3.43</v>
      </c>
      <c r="O29">
        <v>2.0099999999999998</v>
      </c>
      <c r="P29">
        <v>5.24</v>
      </c>
      <c r="Q29">
        <v>8.57</v>
      </c>
      <c r="R29">
        <v>1.88</v>
      </c>
      <c r="S29">
        <v>3.54</v>
      </c>
      <c r="T29">
        <v>4.9400000000000004</v>
      </c>
      <c r="U29">
        <v>2.25</v>
      </c>
      <c r="V29">
        <v>1.79</v>
      </c>
      <c r="W29">
        <v>3.76</v>
      </c>
      <c r="X29">
        <v>3.16</v>
      </c>
      <c r="Y29">
        <v>4.97</v>
      </c>
      <c r="Z29">
        <v>1022</v>
      </c>
      <c r="AA29">
        <v>1147</v>
      </c>
      <c r="AB29">
        <v>910</v>
      </c>
      <c r="AC29">
        <v>593</v>
      </c>
      <c r="AD29">
        <v>178</v>
      </c>
      <c r="AE29">
        <v>28</v>
      </c>
      <c r="AF29">
        <v>1</v>
      </c>
      <c r="AG29">
        <v>6</v>
      </c>
      <c r="AH29">
        <v>59</v>
      </c>
      <c r="AI29">
        <v>218</v>
      </c>
      <c r="AJ29">
        <v>732</v>
      </c>
      <c r="AK29">
        <v>1056</v>
      </c>
      <c r="AL29">
        <v>18</v>
      </c>
      <c r="AM29">
        <v>87</v>
      </c>
      <c r="AN29">
        <v>201</v>
      </c>
      <c r="AO29">
        <v>183</v>
      </c>
      <c r="AP29">
        <v>61</v>
      </c>
      <c r="AQ29">
        <v>13</v>
      </c>
      <c r="AS29">
        <f t="shared" si="3"/>
        <v>27.073600000000042</v>
      </c>
      <c r="AT29">
        <f t="shared" si="4"/>
        <v>29.233900000000038</v>
      </c>
      <c r="AU29">
        <f t="shared" si="5"/>
        <v>36.81140000000007</v>
      </c>
      <c r="AV29">
        <f t="shared" si="6"/>
        <v>47.766500000000093</v>
      </c>
      <c r="AW29">
        <f t="shared" si="7"/>
        <v>58.27780000000002</v>
      </c>
      <c r="AX29">
        <f t="shared" si="8"/>
        <v>66.728599999999872</v>
      </c>
      <c r="AY29">
        <f t="shared" si="9"/>
        <v>72.336100000000073</v>
      </c>
      <c r="AZ29">
        <f t="shared" si="10"/>
        <v>70.473100000000059</v>
      </c>
      <c r="BA29">
        <f t="shared" si="11"/>
        <v>63.694000000000052</v>
      </c>
      <c r="BB29">
        <f t="shared" si="12"/>
        <v>52.425699999999942</v>
      </c>
      <c r="BC29">
        <f t="shared" si="13"/>
        <v>42.145300000000027</v>
      </c>
      <c r="BD29">
        <f t="shared" si="14"/>
        <v>32.729800000000019</v>
      </c>
      <c r="BE29">
        <f t="shared" si="15"/>
        <v>3.6039000000000021</v>
      </c>
      <c r="BF29">
        <f t="shared" si="16"/>
        <v>3.1761999999999966</v>
      </c>
      <c r="BG29">
        <f t="shared" si="17"/>
        <v>5.2062000000000053</v>
      </c>
      <c r="BH29">
        <f t="shared" si="18"/>
        <v>5.8022000000000062</v>
      </c>
      <c r="BI29">
        <f t="shared" si="19"/>
        <v>4.996300000000006</v>
      </c>
      <c r="BJ29">
        <f t="shared" si="20"/>
        <v>4.5799999999999894</v>
      </c>
      <c r="BK29">
        <f t="shared" si="21"/>
        <v>4.1477540000000079</v>
      </c>
      <c r="BL29">
        <f t="shared" si="22"/>
        <v>4.213400000000008</v>
      </c>
      <c r="BM29">
        <f t="shared" si="23"/>
        <v>4.1657999999999982</v>
      </c>
      <c r="BN29">
        <f t="shared" si="24"/>
        <v>4.8415999999999917</v>
      </c>
      <c r="BO29">
        <f t="shared" si="25"/>
        <v>3.5746000000000029</v>
      </c>
      <c r="BP29">
        <f t="shared" si="26"/>
        <v>4.1335999999999959</v>
      </c>
      <c r="BQ29">
        <f t="shared" si="27"/>
        <v>1224.823500000002</v>
      </c>
      <c r="BR29">
        <f t="shared" si="28"/>
        <v>918.18090000000132</v>
      </c>
      <c r="BS29">
        <f t="shared" si="29"/>
        <v>858.88589999999976</v>
      </c>
      <c r="BT29">
        <f t="shared" si="30"/>
        <v>514.66789999999935</v>
      </c>
      <c r="BU29">
        <f t="shared" si="31"/>
        <v>221.72000000000003</v>
      </c>
      <c r="BV29">
        <f t="shared" si="32"/>
        <v>29.249900000000039</v>
      </c>
      <c r="BW29">
        <f t="shared" si="33"/>
        <v>1.9281000000000033</v>
      </c>
      <c r="BX29">
        <f t="shared" si="34"/>
        <v>6.7424999999999811</v>
      </c>
      <c r="BY29">
        <f t="shared" si="35"/>
        <v>78.228399999999979</v>
      </c>
      <c r="BZ29">
        <f t="shared" si="36"/>
        <v>375.96340000000015</v>
      </c>
      <c r="CA29">
        <f t="shared" si="37"/>
        <v>665.67969999999889</v>
      </c>
      <c r="CB29">
        <f t="shared" si="38"/>
        <v>974.79789999999934</v>
      </c>
      <c r="CC29">
        <f t="shared" si="39"/>
        <v>14.826000000000015</v>
      </c>
      <c r="CD29">
        <f t="shared" si="40"/>
        <v>93.128300000000152</v>
      </c>
      <c r="CE29">
        <f t="shared" si="41"/>
        <v>245.35730000000015</v>
      </c>
      <c r="CF29">
        <f t="shared" si="42"/>
        <v>199.89300000000034</v>
      </c>
      <c r="CG29">
        <f t="shared" si="43"/>
        <v>53.826699999999953</v>
      </c>
      <c r="CH29">
        <f t="shared" si="44"/>
        <v>1.8755999999999999</v>
      </c>
      <c r="CJ29">
        <f t="shared" si="2"/>
        <v>4.2263999999999591</v>
      </c>
      <c r="CK29">
        <f t="shared" si="47"/>
        <v>-5.9339000000000368</v>
      </c>
      <c r="CL29">
        <f t="shared" si="48"/>
        <v>-1.7114000000000686</v>
      </c>
      <c r="CM29">
        <f t="shared" si="49"/>
        <v>-2.9665000000000958</v>
      </c>
      <c r="CN29">
        <f t="shared" si="50"/>
        <v>1.3221999999999809</v>
      </c>
      <c r="CO29">
        <f t="shared" si="51"/>
        <v>-0.12859999999987792</v>
      </c>
      <c r="CP29">
        <f t="shared" si="52"/>
        <v>-1.4361000000000672</v>
      </c>
      <c r="CQ29">
        <f t="shared" si="53"/>
        <v>-0.17310000000006198</v>
      </c>
      <c r="CR29">
        <f t="shared" si="54"/>
        <v>0.90599999999994196</v>
      </c>
      <c r="CS29">
        <f t="shared" si="55"/>
        <v>5.3743000000000549</v>
      </c>
      <c r="CT29">
        <f t="shared" si="56"/>
        <v>-2.2453000000000287</v>
      </c>
      <c r="CU29">
        <f t="shared" si="57"/>
        <v>-2.5298000000000194</v>
      </c>
      <c r="CV29">
        <f t="shared" si="58"/>
        <v>-0.17390000000000194</v>
      </c>
      <c r="CW29">
        <f t="shared" si="59"/>
        <v>-1.1661999999999968</v>
      </c>
      <c r="CX29">
        <f t="shared" si="60"/>
        <v>3.3799999999994945E-2</v>
      </c>
      <c r="CY29">
        <f t="shared" si="61"/>
        <v>2.767799999999994</v>
      </c>
      <c r="CZ29">
        <f t="shared" si="62"/>
        <v>-3.1163000000000061</v>
      </c>
      <c r="DA29">
        <f t="shared" si="63"/>
        <v>-1.0399999999999894</v>
      </c>
      <c r="DB29">
        <f t="shared" si="64"/>
        <v>0.79224599999999246</v>
      </c>
      <c r="DC29">
        <f t="shared" si="65"/>
        <v>-1.963400000000008</v>
      </c>
      <c r="DD29">
        <f t="shared" si="66"/>
        <v>-2.3757999999999981</v>
      </c>
      <c r="DE29">
        <f t="shared" si="67"/>
        <v>-1.0815999999999919</v>
      </c>
      <c r="DF29">
        <f t="shared" si="68"/>
        <v>-0.41460000000000274</v>
      </c>
      <c r="DG29">
        <f t="shared" si="69"/>
        <v>0.83640000000000381</v>
      </c>
      <c r="DH29">
        <f t="shared" si="70"/>
        <v>-202.82350000000201</v>
      </c>
      <c r="DI29">
        <f t="shared" si="71"/>
        <v>228.81909999999868</v>
      </c>
      <c r="DJ29">
        <f t="shared" si="72"/>
        <v>51.114100000000235</v>
      </c>
      <c r="DK29">
        <f t="shared" si="73"/>
        <v>78.332100000000651</v>
      </c>
      <c r="DL29">
        <f t="shared" si="74"/>
        <v>-43.720000000000027</v>
      </c>
      <c r="DM29">
        <f t="shared" si="75"/>
        <v>-1.2499000000000393</v>
      </c>
      <c r="DN29">
        <f t="shared" si="76"/>
        <v>-0.92810000000000326</v>
      </c>
      <c r="DO29">
        <f t="shared" si="77"/>
        <v>-0.74249999999998106</v>
      </c>
      <c r="DP29">
        <f t="shared" si="78"/>
        <v>-19.228399999999979</v>
      </c>
      <c r="DQ29">
        <f t="shared" si="79"/>
        <v>-157.96340000000015</v>
      </c>
      <c r="DR29">
        <f t="shared" si="80"/>
        <v>66.320300000001112</v>
      </c>
      <c r="DS29">
        <f t="shared" si="81"/>
        <v>81.202100000000655</v>
      </c>
      <c r="DT29">
        <f t="shared" si="82"/>
        <v>3.1739999999999853</v>
      </c>
      <c r="DU29">
        <f t="shared" si="83"/>
        <v>-6.1283000000001522</v>
      </c>
      <c r="DV29">
        <f t="shared" si="84"/>
        <v>-44.357300000000151</v>
      </c>
      <c r="DW29">
        <f t="shared" si="85"/>
        <v>-16.893000000000342</v>
      </c>
      <c r="DX29">
        <f t="shared" si="45"/>
        <v>7.1733000000000473</v>
      </c>
      <c r="DY29">
        <f t="shared" si="46"/>
        <v>11.1244</v>
      </c>
    </row>
    <row r="30" spans="1:129" x14ac:dyDescent="0.25">
      <c r="A30">
        <v>2008</v>
      </c>
      <c r="B30">
        <v>29.7</v>
      </c>
      <c r="C30">
        <v>29.8</v>
      </c>
      <c r="D30">
        <v>36.5</v>
      </c>
      <c r="E30">
        <v>49.6</v>
      </c>
      <c r="F30">
        <v>55.1</v>
      </c>
      <c r="G30">
        <v>68.599999999999994</v>
      </c>
      <c r="H30">
        <v>73.3</v>
      </c>
      <c r="I30">
        <v>67.8</v>
      </c>
      <c r="J30">
        <v>63.3</v>
      </c>
      <c r="K30">
        <v>50</v>
      </c>
      <c r="L30">
        <v>40.5</v>
      </c>
      <c r="M30">
        <v>32.200000000000003</v>
      </c>
      <c r="N30">
        <v>2.4500000000000002</v>
      </c>
      <c r="O30">
        <v>8.34</v>
      </c>
      <c r="P30">
        <v>5.51</v>
      </c>
      <c r="Q30">
        <v>3.58</v>
      </c>
      <c r="R30">
        <v>2.66</v>
      </c>
      <c r="S30">
        <v>4.6900000000000004</v>
      </c>
      <c r="T30">
        <v>5.66</v>
      </c>
      <c r="U30">
        <v>3.95</v>
      </c>
      <c r="V30">
        <v>9.06</v>
      </c>
      <c r="W30">
        <v>3.04</v>
      </c>
      <c r="X30">
        <v>3.67</v>
      </c>
      <c r="Y30">
        <v>6.92</v>
      </c>
      <c r="Z30">
        <v>1066</v>
      </c>
      <c r="AA30">
        <v>965</v>
      </c>
      <c r="AB30">
        <v>859</v>
      </c>
      <c r="AC30">
        <v>456</v>
      </c>
      <c r="AD30">
        <v>298</v>
      </c>
      <c r="AE30">
        <v>11</v>
      </c>
      <c r="AF30">
        <v>0</v>
      </c>
      <c r="AG30">
        <v>20</v>
      </c>
      <c r="AH30">
        <v>79</v>
      </c>
      <c r="AI30">
        <v>447</v>
      </c>
      <c r="AJ30">
        <v>718</v>
      </c>
      <c r="AK30">
        <v>991</v>
      </c>
      <c r="AL30">
        <v>0</v>
      </c>
      <c r="AM30">
        <v>134</v>
      </c>
      <c r="AN30">
        <v>270</v>
      </c>
      <c r="AO30">
        <v>122</v>
      </c>
      <c r="AP30">
        <v>44</v>
      </c>
      <c r="AQ30">
        <v>0</v>
      </c>
      <c r="AS30">
        <f t="shared" si="3"/>
        <v>27.164400000000043</v>
      </c>
      <c r="AT30">
        <f t="shared" si="4"/>
        <v>29.251600000000039</v>
      </c>
      <c r="AU30">
        <f t="shared" si="5"/>
        <v>36.831600000000073</v>
      </c>
      <c r="AV30">
        <f t="shared" si="6"/>
        <v>47.797000000000097</v>
      </c>
      <c r="AW30">
        <f t="shared" si="7"/>
        <v>58.326200000000021</v>
      </c>
      <c r="AX30">
        <f t="shared" si="8"/>
        <v>66.773399999999867</v>
      </c>
      <c r="AY30">
        <f t="shared" si="9"/>
        <v>72.394400000000076</v>
      </c>
      <c r="AZ30">
        <f t="shared" si="10"/>
        <v>70.522400000000061</v>
      </c>
      <c r="BA30">
        <f t="shared" si="11"/>
        <v>63.809000000000054</v>
      </c>
      <c r="BB30">
        <f t="shared" si="12"/>
        <v>52.53479999999994</v>
      </c>
      <c r="BC30">
        <f t="shared" si="13"/>
        <v>42.198200000000028</v>
      </c>
      <c r="BD30">
        <f t="shared" si="14"/>
        <v>32.844200000000022</v>
      </c>
      <c r="BE30">
        <f t="shared" si="15"/>
        <v>3.6073000000000022</v>
      </c>
      <c r="BF30">
        <f t="shared" si="16"/>
        <v>3.1792999999999965</v>
      </c>
      <c r="BG30">
        <f t="shared" si="17"/>
        <v>5.2286000000000055</v>
      </c>
      <c r="BH30">
        <f t="shared" si="18"/>
        <v>5.8345000000000065</v>
      </c>
      <c r="BI30">
        <f t="shared" si="19"/>
        <v>5.0164000000000062</v>
      </c>
      <c r="BJ30">
        <f t="shared" si="20"/>
        <v>4.597699999999989</v>
      </c>
      <c r="BK30">
        <f t="shared" si="21"/>
        <v>4.1477560000000082</v>
      </c>
      <c r="BL30">
        <f t="shared" si="22"/>
        <v>4.2239000000000084</v>
      </c>
      <c r="BM30">
        <f t="shared" si="23"/>
        <v>4.1867999999999981</v>
      </c>
      <c r="BN30">
        <f t="shared" si="24"/>
        <v>4.8725999999999914</v>
      </c>
      <c r="BO30">
        <f t="shared" si="25"/>
        <v>3.509000000000003</v>
      </c>
      <c r="BP30">
        <f t="shared" si="26"/>
        <v>4.1616999999999962</v>
      </c>
      <c r="BQ30">
        <f t="shared" si="27"/>
        <v>1224.8540000000021</v>
      </c>
      <c r="BR30">
        <f t="shared" si="28"/>
        <v>915.40760000000137</v>
      </c>
      <c r="BS30">
        <f t="shared" si="29"/>
        <v>858.42759999999976</v>
      </c>
      <c r="BT30">
        <f t="shared" si="30"/>
        <v>514.07559999999933</v>
      </c>
      <c r="BU30">
        <f t="shared" si="31"/>
        <v>220.75000000000003</v>
      </c>
      <c r="BV30">
        <f t="shared" si="32"/>
        <v>28.677600000000041</v>
      </c>
      <c r="BW30">
        <f t="shared" si="33"/>
        <v>1.8886000000000032</v>
      </c>
      <c r="BX30">
        <f t="shared" si="34"/>
        <v>6.4859999999999811</v>
      </c>
      <c r="BY30">
        <f t="shared" si="35"/>
        <v>76.777599999999978</v>
      </c>
      <c r="BZ30">
        <f t="shared" si="36"/>
        <v>374.42760000000015</v>
      </c>
      <c r="CA30">
        <f t="shared" si="37"/>
        <v>664.17079999999885</v>
      </c>
      <c r="CB30">
        <f t="shared" si="38"/>
        <v>971.27559999999937</v>
      </c>
      <c r="CC30">
        <f t="shared" si="39"/>
        <v>15.116100000000015</v>
      </c>
      <c r="CD30">
        <f t="shared" si="40"/>
        <v>93.868200000000158</v>
      </c>
      <c r="CE30">
        <f t="shared" si="41"/>
        <v>247.09720000000016</v>
      </c>
      <c r="CF30">
        <f t="shared" si="42"/>
        <v>201.59200000000035</v>
      </c>
      <c r="CG30">
        <f t="shared" si="43"/>
        <v>55.28079999999995</v>
      </c>
      <c r="CH30">
        <f t="shared" si="44"/>
        <v>1.9643999999999999</v>
      </c>
      <c r="CJ30">
        <f t="shared" si="2"/>
        <v>2.5355999999999561</v>
      </c>
      <c r="CK30">
        <f t="shared" si="47"/>
        <v>0.54839999999996181</v>
      </c>
      <c r="CL30">
        <f t="shared" si="48"/>
        <v>-0.33160000000007273</v>
      </c>
      <c r="CM30">
        <f t="shared" si="49"/>
        <v>1.8029999999999049</v>
      </c>
      <c r="CN30">
        <f t="shared" si="50"/>
        <v>-3.2262000000000199</v>
      </c>
      <c r="CO30">
        <f t="shared" si="51"/>
        <v>1.826600000000127</v>
      </c>
      <c r="CP30">
        <f t="shared" si="52"/>
        <v>0.90559999999992158</v>
      </c>
      <c r="CQ30">
        <f t="shared" si="53"/>
        <v>-2.7224000000000643</v>
      </c>
      <c r="CR30">
        <f t="shared" si="54"/>
        <v>-0.50900000000005718</v>
      </c>
      <c r="CS30">
        <f t="shared" si="55"/>
        <v>-2.5347999999999402</v>
      </c>
      <c r="CT30">
        <f t="shared" si="56"/>
        <v>-1.6982000000000284</v>
      </c>
      <c r="CU30">
        <f t="shared" si="57"/>
        <v>-0.6442000000000192</v>
      </c>
      <c r="CV30">
        <f t="shared" si="58"/>
        <v>-1.157300000000002</v>
      </c>
      <c r="CW30">
        <f t="shared" si="59"/>
        <v>5.1607000000000038</v>
      </c>
      <c r="CX30">
        <f t="shared" si="60"/>
        <v>0.28139999999999432</v>
      </c>
      <c r="CY30">
        <f t="shared" si="61"/>
        <v>-2.2545000000000064</v>
      </c>
      <c r="CZ30">
        <f t="shared" si="62"/>
        <v>-2.356400000000006</v>
      </c>
      <c r="DA30">
        <f t="shared" si="63"/>
        <v>9.2300000000011373E-2</v>
      </c>
      <c r="DB30">
        <f t="shared" si="64"/>
        <v>1.5122439999999919</v>
      </c>
      <c r="DC30">
        <f t="shared" si="65"/>
        <v>-0.27390000000000825</v>
      </c>
      <c r="DD30">
        <f t="shared" si="66"/>
        <v>4.8732000000000024</v>
      </c>
      <c r="DE30">
        <f t="shared" si="67"/>
        <v>-1.8325999999999913</v>
      </c>
      <c r="DF30">
        <f t="shared" si="68"/>
        <v>0.16099999999999692</v>
      </c>
      <c r="DG30">
        <f t="shared" si="69"/>
        <v>2.7583000000000037</v>
      </c>
      <c r="DH30">
        <f t="shared" si="70"/>
        <v>-158.85400000000209</v>
      </c>
      <c r="DI30">
        <f t="shared" si="71"/>
        <v>49.592399999998634</v>
      </c>
      <c r="DJ30">
        <f t="shared" si="72"/>
        <v>0.57240000000024338</v>
      </c>
      <c r="DK30">
        <f t="shared" si="73"/>
        <v>-58.075599999999326</v>
      </c>
      <c r="DL30">
        <f t="shared" si="74"/>
        <v>77.249999999999972</v>
      </c>
      <c r="DM30">
        <f t="shared" si="75"/>
        <v>-17.677600000000041</v>
      </c>
      <c r="DN30">
        <f t="shared" si="76"/>
        <v>-1.8886000000000032</v>
      </c>
      <c r="DO30">
        <f t="shared" si="77"/>
        <v>13.514000000000019</v>
      </c>
      <c r="DP30">
        <f t="shared" si="78"/>
        <v>2.2224000000000217</v>
      </c>
      <c r="DQ30">
        <f t="shared" si="79"/>
        <v>72.572399999999845</v>
      </c>
      <c r="DR30">
        <f t="shared" si="80"/>
        <v>53.829200000001151</v>
      </c>
      <c r="DS30">
        <f t="shared" si="81"/>
        <v>19.724400000000628</v>
      </c>
      <c r="DT30">
        <f t="shared" si="82"/>
        <v>-15.116100000000015</v>
      </c>
      <c r="DU30">
        <f t="shared" si="83"/>
        <v>40.131799999999842</v>
      </c>
      <c r="DV30">
        <f t="shared" si="84"/>
        <v>22.902799999999843</v>
      </c>
      <c r="DW30">
        <f t="shared" si="85"/>
        <v>-79.592000000000354</v>
      </c>
      <c r="DX30">
        <f t="shared" si="45"/>
        <v>-11.28079999999995</v>
      </c>
      <c r="DY30">
        <f t="shared" si="46"/>
        <v>-1.9643999999999999</v>
      </c>
    </row>
    <row r="31" spans="1:129" x14ac:dyDescent="0.25">
      <c r="A31">
        <v>2009</v>
      </c>
      <c r="B31">
        <v>21</v>
      </c>
      <c r="C31">
        <v>30.2</v>
      </c>
      <c r="D31">
        <v>36.799999999999997</v>
      </c>
      <c r="E31">
        <v>49.3</v>
      </c>
      <c r="F31">
        <v>57.8</v>
      </c>
      <c r="G31">
        <v>64</v>
      </c>
      <c r="H31">
        <v>68.7</v>
      </c>
      <c r="I31">
        <v>71.7</v>
      </c>
      <c r="J31">
        <v>61</v>
      </c>
      <c r="K31">
        <v>49.5</v>
      </c>
      <c r="L31">
        <v>46</v>
      </c>
      <c r="M31">
        <v>30.1</v>
      </c>
      <c r="N31">
        <v>3</v>
      </c>
      <c r="O31">
        <v>1.48</v>
      </c>
      <c r="P31">
        <v>2.35</v>
      </c>
      <c r="Q31">
        <v>3.95</v>
      </c>
      <c r="R31">
        <v>3.91</v>
      </c>
      <c r="S31">
        <v>6.94</v>
      </c>
      <c r="T31">
        <v>8.82</v>
      </c>
      <c r="U31">
        <v>3.76</v>
      </c>
      <c r="V31">
        <v>1.98</v>
      </c>
      <c r="W31">
        <v>6.08</v>
      </c>
      <c r="X31">
        <v>2.74</v>
      </c>
      <c r="Y31">
        <v>5.49</v>
      </c>
      <c r="Z31">
        <v>1336</v>
      </c>
      <c r="AA31">
        <v>954</v>
      </c>
      <c r="AB31">
        <v>861</v>
      </c>
      <c r="AC31">
        <v>460</v>
      </c>
      <c r="AD31">
        <v>225</v>
      </c>
      <c r="AE31">
        <v>65</v>
      </c>
      <c r="AF31">
        <v>11</v>
      </c>
      <c r="AG31">
        <v>1</v>
      </c>
      <c r="AH31">
        <v>122</v>
      </c>
      <c r="AI31">
        <v>461</v>
      </c>
      <c r="AJ31">
        <v>552</v>
      </c>
      <c r="AK31">
        <v>1058</v>
      </c>
      <c r="AL31">
        <v>10</v>
      </c>
      <c r="AM31">
        <v>44</v>
      </c>
      <c r="AN31">
        <v>143</v>
      </c>
      <c r="AO31">
        <v>227</v>
      </c>
      <c r="AP31">
        <v>20</v>
      </c>
      <c r="AQ31">
        <v>0</v>
      </c>
      <c r="AS31">
        <f t="shared" si="3"/>
        <v>27.255200000000045</v>
      </c>
      <c r="AT31">
        <f t="shared" si="4"/>
        <v>29.26930000000004</v>
      </c>
      <c r="AU31">
        <f t="shared" si="5"/>
        <v>36.851800000000075</v>
      </c>
      <c r="AV31">
        <f t="shared" si="6"/>
        <v>47.8275000000001</v>
      </c>
      <c r="AW31">
        <f t="shared" si="7"/>
        <v>58.374600000000022</v>
      </c>
      <c r="AX31">
        <f t="shared" si="8"/>
        <v>66.818199999999862</v>
      </c>
      <c r="AY31">
        <f t="shared" si="9"/>
        <v>72.452700000000078</v>
      </c>
      <c r="AZ31">
        <f t="shared" si="10"/>
        <v>70.571700000000064</v>
      </c>
      <c r="BA31">
        <f t="shared" si="11"/>
        <v>63.924000000000056</v>
      </c>
      <c r="BB31">
        <f t="shared" si="12"/>
        <v>52.643899999999938</v>
      </c>
      <c r="BC31">
        <f t="shared" si="13"/>
        <v>42.251100000000029</v>
      </c>
      <c r="BD31">
        <f t="shared" si="14"/>
        <v>32.958600000000025</v>
      </c>
      <c r="BE31">
        <f t="shared" si="15"/>
        <v>3.6107000000000022</v>
      </c>
      <c r="BF31">
        <f t="shared" si="16"/>
        <v>3.1823999999999963</v>
      </c>
      <c r="BG31">
        <f t="shared" si="17"/>
        <v>5.2510000000000057</v>
      </c>
      <c r="BH31">
        <f t="shared" si="18"/>
        <v>5.8668000000000067</v>
      </c>
      <c r="BI31">
        <f t="shared" si="19"/>
        <v>5.0365000000000064</v>
      </c>
      <c r="BJ31">
        <f t="shared" si="20"/>
        <v>4.6153999999999886</v>
      </c>
      <c r="BK31">
        <f t="shared" si="21"/>
        <v>4.1477580000000085</v>
      </c>
      <c r="BL31">
        <f t="shared" si="22"/>
        <v>4.2344000000000088</v>
      </c>
      <c r="BM31">
        <f t="shared" si="23"/>
        <v>4.207799999999998</v>
      </c>
      <c r="BN31">
        <f t="shared" si="24"/>
        <v>4.9035999999999911</v>
      </c>
      <c r="BO31">
        <f t="shared" si="25"/>
        <v>3.4434000000000031</v>
      </c>
      <c r="BP31">
        <f t="shared" si="26"/>
        <v>4.1897999999999964</v>
      </c>
      <c r="BQ31">
        <f t="shared" si="27"/>
        <v>1224.8845000000022</v>
      </c>
      <c r="BR31">
        <f t="shared" si="28"/>
        <v>912.63430000000142</v>
      </c>
      <c r="BS31">
        <f t="shared" si="29"/>
        <v>857.96929999999975</v>
      </c>
      <c r="BT31">
        <f t="shared" si="30"/>
        <v>513.4832999999993</v>
      </c>
      <c r="BU31">
        <f t="shared" si="31"/>
        <v>219.78000000000003</v>
      </c>
      <c r="BV31">
        <f t="shared" si="32"/>
        <v>28.105300000000042</v>
      </c>
      <c r="BW31">
        <f t="shared" si="33"/>
        <v>1.8491000000000031</v>
      </c>
      <c r="BX31">
        <f t="shared" si="34"/>
        <v>6.2294999999999812</v>
      </c>
      <c r="BY31">
        <f t="shared" si="35"/>
        <v>75.326799999999977</v>
      </c>
      <c r="BZ31">
        <f t="shared" si="36"/>
        <v>372.89180000000016</v>
      </c>
      <c r="CA31">
        <f t="shared" si="37"/>
        <v>662.66189999999881</v>
      </c>
      <c r="CB31">
        <f t="shared" si="38"/>
        <v>967.7532999999994</v>
      </c>
      <c r="CC31">
        <f t="shared" si="39"/>
        <v>15.406200000000016</v>
      </c>
      <c r="CD31">
        <f t="shared" si="40"/>
        <v>94.608100000000164</v>
      </c>
      <c r="CE31">
        <f t="shared" si="41"/>
        <v>248.83710000000016</v>
      </c>
      <c r="CF31">
        <f t="shared" si="42"/>
        <v>203.29100000000037</v>
      </c>
      <c r="CG31">
        <f t="shared" si="43"/>
        <v>56.734899999999946</v>
      </c>
      <c r="CH31">
        <f t="shared" si="44"/>
        <v>2.0531999999999999</v>
      </c>
      <c r="CJ31">
        <f t="shared" si="2"/>
        <v>-6.2552000000000447</v>
      </c>
      <c r="CK31">
        <f t="shared" si="47"/>
        <v>0.930699999999959</v>
      </c>
      <c r="CL31">
        <f t="shared" si="48"/>
        <v>-5.1800000000078228E-2</v>
      </c>
      <c r="CM31">
        <f t="shared" si="49"/>
        <v>1.4724999999998971</v>
      </c>
      <c r="CN31">
        <f t="shared" si="50"/>
        <v>-0.57460000000002509</v>
      </c>
      <c r="CO31">
        <f t="shared" si="51"/>
        <v>-2.8181999999998624</v>
      </c>
      <c r="CP31">
        <f t="shared" si="52"/>
        <v>-3.7527000000000754</v>
      </c>
      <c r="CQ31">
        <f t="shared" si="53"/>
        <v>1.128299999999939</v>
      </c>
      <c r="CR31">
        <f t="shared" si="54"/>
        <v>-2.9240000000000563</v>
      </c>
      <c r="CS31">
        <f t="shared" si="55"/>
        <v>-3.1438999999999382</v>
      </c>
      <c r="CT31">
        <f t="shared" si="56"/>
        <v>3.7488999999999706</v>
      </c>
      <c r="CU31">
        <f t="shared" si="57"/>
        <v>-2.858600000000024</v>
      </c>
      <c r="CV31">
        <f t="shared" si="58"/>
        <v>-0.61070000000000224</v>
      </c>
      <c r="CW31">
        <f t="shared" si="59"/>
        <v>-1.7023999999999964</v>
      </c>
      <c r="CX31">
        <f t="shared" si="60"/>
        <v>-2.9010000000000056</v>
      </c>
      <c r="CY31">
        <f t="shared" si="61"/>
        <v>-1.9168000000000065</v>
      </c>
      <c r="CZ31">
        <f t="shared" si="62"/>
        <v>-1.1265000000000063</v>
      </c>
      <c r="DA31">
        <f t="shared" si="63"/>
        <v>2.3246000000000118</v>
      </c>
      <c r="DB31">
        <f t="shared" si="64"/>
        <v>4.6722419999999918</v>
      </c>
      <c r="DC31">
        <f t="shared" si="65"/>
        <v>-0.47440000000000904</v>
      </c>
      <c r="DD31">
        <f t="shared" si="66"/>
        <v>-2.227799999999998</v>
      </c>
      <c r="DE31">
        <f t="shared" si="67"/>
        <v>1.176400000000009</v>
      </c>
      <c r="DF31">
        <f t="shared" si="68"/>
        <v>-0.70340000000000291</v>
      </c>
      <c r="DG31">
        <f t="shared" si="69"/>
        <v>1.3002000000000038</v>
      </c>
      <c r="DH31">
        <f t="shared" si="70"/>
        <v>111.11549999999784</v>
      </c>
      <c r="DI31">
        <f t="shared" si="71"/>
        <v>41.365699999998583</v>
      </c>
      <c r="DJ31">
        <f t="shared" si="72"/>
        <v>3.0307000000002517</v>
      </c>
      <c r="DK31">
        <f t="shared" si="73"/>
        <v>-53.483299999999304</v>
      </c>
      <c r="DL31">
        <f t="shared" si="74"/>
        <v>5.2199999999999704</v>
      </c>
      <c r="DM31">
        <f t="shared" si="75"/>
        <v>36.894699999999958</v>
      </c>
      <c r="DN31">
        <f t="shared" si="76"/>
        <v>9.1508999999999965</v>
      </c>
      <c r="DO31">
        <f t="shared" si="77"/>
        <v>-5.2294999999999812</v>
      </c>
      <c r="DP31">
        <f t="shared" si="78"/>
        <v>46.673200000000023</v>
      </c>
      <c r="DQ31">
        <f t="shared" si="79"/>
        <v>88.10819999999984</v>
      </c>
      <c r="DR31">
        <f t="shared" si="80"/>
        <v>-110.66189999999881</v>
      </c>
      <c r="DS31">
        <f t="shared" si="81"/>
        <v>90.246700000000601</v>
      </c>
      <c r="DT31">
        <f t="shared" si="82"/>
        <v>-5.4062000000000161</v>
      </c>
      <c r="DU31">
        <f t="shared" si="83"/>
        <v>-50.608100000000164</v>
      </c>
      <c r="DV31">
        <f t="shared" si="84"/>
        <v>-105.83710000000016</v>
      </c>
      <c r="DW31">
        <f t="shared" si="85"/>
        <v>23.708999999999634</v>
      </c>
      <c r="DX31">
        <f t="shared" si="45"/>
        <v>-36.734899999999946</v>
      </c>
      <c r="DY31">
        <f t="shared" si="46"/>
        <v>-2.0531999999999999</v>
      </c>
    </row>
    <row r="32" spans="1:129" x14ac:dyDescent="0.25">
      <c r="A32">
        <v>2010</v>
      </c>
      <c r="B32">
        <v>27</v>
      </c>
      <c r="C32">
        <v>29.8</v>
      </c>
      <c r="D32">
        <v>43</v>
      </c>
      <c r="E32">
        <v>52</v>
      </c>
      <c r="F32">
        <v>60.9</v>
      </c>
      <c r="G32">
        <v>68.900000000000006</v>
      </c>
      <c r="H32">
        <v>75.099999999999994</v>
      </c>
      <c r="I32">
        <v>71</v>
      </c>
      <c r="J32">
        <v>65.599999999999994</v>
      </c>
      <c r="K32">
        <v>52.8</v>
      </c>
      <c r="L32">
        <v>41.9</v>
      </c>
      <c r="M32">
        <v>28.2</v>
      </c>
      <c r="N32">
        <v>2.94</v>
      </c>
      <c r="O32">
        <v>4.51</v>
      </c>
      <c r="P32">
        <v>9.9499999999999993</v>
      </c>
      <c r="Q32">
        <v>1.7</v>
      </c>
      <c r="R32">
        <v>2.94</v>
      </c>
      <c r="S32">
        <v>3.36</v>
      </c>
      <c r="T32">
        <v>3.53</v>
      </c>
      <c r="U32">
        <v>3.58</v>
      </c>
      <c r="V32">
        <v>2.62</v>
      </c>
      <c r="W32">
        <v>5.47</v>
      </c>
      <c r="X32">
        <v>3.38</v>
      </c>
      <c r="Y32">
        <v>4.5599999999999996</v>
      </c>
      <c r="Z32">
        <v>1158</v>
      </c>
      <c r="AA32">
        <v>967</v>
      </c>
      <c r="AB32">
        <v>667</v>
      </c>
      <c r="AC32">
        <v>380</v>
      </c>
      <c r="AD32">
        <v>146</v>
      </c>
      <c r="AE32">
        <v>10</v>
      </c>
      <c r="AF32">
        <v>0</v>
      </c>
      <c r="AG32">
        <v>4</v>
      </c>
      <c r="AH32">
        <v>45</v>
      </c>
      <c r="AI32">
        <v>360</v>
      </c>
      <c r="AJ32">
        <v>670</v>
      </c>
      <c r="AK32">
        <v>1118</v>
      </c>
      <c r="AL32">
        <v>28</v>
      </c>
      <c r="AM32">
        <v>142</v>
      </c>
      <c r="AN32">
        <v>330</v>
      </c>
      <c r="AO32">
        <v>208</v>
      </c>
      <c r="AP32">
        <v>78</v>
      </c>
      <c r="AQ32">
        <v>0</v>
      </c>
      <c r="AS32">
        <f t="shared" si="3"/>
        <v>27.346000000000046</v>
      </c>
      <c r="AT32">
        <f t="shared" si="4"/>
        <v>29.287000000000042</v>
      </c>
      <c r="AU32">
        <f t="shared" si="5"/>
        <v>36.872000000000078</v>
      </c>
      <c r="AV32">
        <f t="shared" si="6"/>
        <v>47.858000000000104</v>
      </c>
      <c r="AW32">
        <f t="shared" si="7"/>
        <v>58.423000000000023</v>
      </c>
      <c r="AX32">
        <f t="shared" si="8"/>
        <v>66.862999999999857</v>
      </c>
      <c r="AY32">
        <f t="shared" si="9"/>
        <v>72.511000000000081</v>
      </c>
      <c r="AZ32">
        <f t="shared" si="10"/>
        <v>70.621000000000066</v>
      </c>
      <c r="BA32">
        <f t="shared" si="11"/>
        <v>64.039000000000058</v>
      </c>
      <c r="BB32">
        <f t="shared" si="12"/>
        <v>52.752999999999936</v>
      </c>
      <c r="BC32">
        <f t="shared" si="13"/>
        <v>42.30400000000003</v>
      </c>
      <c r="BD32">
        <f t="shared" si="14"/>
        <v>33.073000000000029</v>
      </c>
      <c r="BE32">
        <f t="shared" si="15"/>
        <v>3.6141000000000023</v>
      </c>
      <c r="BF32">
        <f t="shared" si="16"/>
        <v>3.1854999999999962</v>
      </c>
      <c r="BG32">
        <f t="shared" si="17"/>
        <v>5.2734000000000059</v>
      </c>
      <c r="BH32">
        <f t="shared" si="18"/>
        <v>5.8991000000000069</v>
      </c>
      <c r="BI32">
        <f t="shared" si="19"/>
        <v>5.0566000000000066</v>
      </c>
      <c r="BJ32">
        <f t="shared" si="20"/>
        <v>4.6330999999999882</v>
      </c>
      <c r="BK32">
        <f t="shared" si="21"/>
        <v>4.1477600000000088</v>
      </c>
      <c r="BL32">
        <f t="shared" si="22"/>
        <v>4.2449000000000092</v>
      </c>
      <c r="BM32">
        <f t="shared" si="23"/>
        <v>4.2287999999999979</v>
      </c>
      <c r="BN32">
        <f t="shared" si="24"/>
        <v>4.9345999999999908</v>
      </c>
      <c r="BO32">
        <f t="shared" si="25"/>
        <v>3.3778000000000032</v>
      </c>
      <c r="BP32">
        <f t="shared" si="26"/>
        <v>4.2178999999999967</v>
      </c>
      <c r="BQ32">
        <f t="shared" si="27"/>
        <v>1224.9150000000022</v>
      </c>
      <c r="BR32">
        <f t="shared" si="28"/>
        <v>909.86100000000147</v>
      </c>
      <c r="BS32">
        <f t="shared" si="29"/>
        <v>857.51099999999974</v>
      </c>
      <c r="BT32">
        <f t="shared" si="30"/>
        <v>512.89099999999928</v>
      </c>
      <c r="BU32">
        <f t="shared" si="31"/>
        <v>218.81000000000003</v>
      </c>
      <c r="BV32">
        <f t="shared" si="32"/>
        <v>27.533000000000044</v>
      </c>
      <c r="BW32">
        <f t="shared" si="33"/>
        <v>1.809600000000003</v>
      </c>
      <c r="BX32">
        <f t="shared" si="34"/>
        <v>5.9729999999999812</v>
      </c>
      <c r="BY32">
        <f t="shared" si="35"/>
        <v>73.875999999999976</v>
      </c>
      <c r="BZ32">
        <f t="shared" si="36"/>
        <v>371.35600000000017</v>
      </c>
      <c r="CA32">
        <f t="shared" si="37"/>
        <v>661.15299999999877</v>
      </c>
      <c r="CB32">
        <f t="shared" si="38"/>
        <v>964.23099999999943</v>
      </c>
      <c r="CC32">
        <f t="shared" si="39"/>
        <v>15.696300000000017</v>
      </c>
      <c r="CD32">
        <f t="shared" si="40"/>
        <v>95.34800000000017</v>
      </c>
      <c r="CE32">
        <f t="shared" si="41"/>
        <v>250.57700000000017</v>
      </c>
      <c r="CF32">
        <f t="shared" si="42"/>
        <v>204.99000000000038</v>
      </c>
      <c r="CG32">
        <f t="shared" si="43"/>
        <v>58.188999999999943</v>
      </c>
      <c r="CH32">
        <f t="shared" si="44"/>
        <v>2.1419999999999999</v>
      </c>
      <c r="CJ32">
        <f t="shared" si="2"/>
        <v>-0.34600000000004627</v>
      </c>
      <c r="CK32">
        <f t="shared" si="47"/>
        <v>0.51299999999995904</v>
      </c>
      <c r="CL32">
        <f t="shared" si="48"/>
        <v>6.127999999999922</v>
      </c>
      <c r="CM32">
        <f t="shared" si="49"/>
        <v>4.1419999999998964</v>
      </c>
      <c r="CN32">
        <f t="shared" si="50"/>
        <v>2.4769999999999754</v>
      </c>
      <c r="CO32">
        <f t="shared" si="51"/>
        <v>2.0370000000001482</v>
      </c>
      <c r="CP32">
        <f t="shared" si="52"/>
        <v>2.5889999999999134</v>
      </c>
      <c r="CQ32">
        <f t="shared" si="53"/>
        <v>0.37899999999993383</v>
      </c>
      <c r="CR32">
        <f t="shared" si="54"/>
        <v>1.560999999999936</v>
      </c>
      <c r="CS32">
        <f t="shared" si="55"/>
        <v>4.7000000000060993E-2</v>
      </c>
      <c r="CT32">
        <f t="shared" si="56"/>
        <v>-0.40400000000003189</v>
      </c>
      <c r="CU32">
        <f t="shared" si="57"/>
        <v>-4.8730000000000295</v>
      </c>
      <c r="CV32">
        <f t="shared" si="58"/>
        <v>-0.67410000000000236</v>
      </c>
      <c r="CW32">
        <f t="shared" si="59"/>
        <v>1.3245000000000036</v>
      </c>
      <c r="CX32">
        <f t="shared" si="60"/>
        <v>4.6765999999999934</v>
      </c>
      <c r="CY32">
        <f t="shared" si="61"/>
        <v>-4.1991000000000067</v>
      </c>
      <c r="CZ32">
        <f t="shared" si="62"/>
        <v>-2.1166000000000067</v>
      </c>
      <c r="DA32">
        <f t="shared" si="63"/>
        <v>-1.2730999999999884</v>
      </c>
      <c r="DB32">
        <f t="shared" si="64"/>
        <v>-0.61776000000000897</v>
      </c>
      <c r="DC32">
        <f t="shared" si="65"/>
        <v>-0.66490000000000915</v>
      </c>
      <c r="DD32">
        <f t="shared" si="66"/>
        <v>-1.6087999999999978</v>
      </c>
      <c r="DE32">
        <f t="shared" si="67"/>
        <v>0.53540000000000898</v>
      </c>
      <c r="DF32">
        <f t="shared" si="68"/>
        <v>2.1999999999966491E-3</v>
      </c>
      <c r="DG32">
        <f t="shared" si="69"/>
        <v>0.34210000000000296</v>
      </c>
      <c r="DH32">
        <f t="shared" si="70"/>
        <v>-66.915000000002237</v>
      </c>
      <c r="DI32">
        <f t="shared" si="71"/>
        <v>57.138999999998532</v>
      </c>
      <c r="DJ32">
        <f t="shared" si="72"/>
        <v>-190.51099999999974</v>
      </c>
      <c r="DK32">
        <f t="shared" si="73"/>
        <v>-132.89099999999928</v>
      </c>
      <c r="DL32">
        <f t="shared" si="74"/>
        <v>-72.810000000000031</v>
      </c>
      <c r="DM32">
        <f t="shared" si="75"/>
        <v>-17.533000000000044</v>
      </c>
      <c r="DN32">
        <f t="shared" si="76"/>
        <v>-1.809600000000003</v>
      </c>
      <c r="DO32">
        <f t="shared" si="77"/>
        <v>-1.9729999999999812</v>
      </c>
      <c r="DP32">
        <f t="shared" si="78"/>
        <v>-28.875999999999976</v>
      </c>
      <c r="DQ32">
        <f t="shared" si="79"/>
        <v>-11.356000000000165</v>
      </c>
      <c r="DR32">
        <f t="shared" si="80"/>
        <v>8.8470000000012305</v>
      </c>
      <c r="DS32">
        <f t="shared" si="81"/>
        <v>153.76900000000057</v>
      </c>
      <c r="DT32">
        <f t="shared" si="82"/>
        <v>12.303699999999983</v>
      </c>
      <c r="DU32">
        <f t="shared" si="83"/>
        <v>46.65199999999983</v>
      </c>
      <c r="DV32">
        <f t="shared" si="84"/>
        <v>79.422999999999831</v>
      </c>
      <c r="DW32">
        <f t="shared" si="85"/>
        <v>3.0099999999996214</v>
      </c>
      <c r="DX32">
        <f t="shared" si="45"/>
        <v>19.811000000000057</v>
      </c>
      <c r="DY32">
        <f t="shared" si="46"/>
        <v>-2.1419999999999999</v>
      </c>
    </row>
    <row r="33" spans="1:129" x14ac:dyDescent="0.25">
      <c r="A33">
        <v>2011</v>
      </c>
      <c r="B33">
        <v>23.2</v>
      </c>
      <c r="C33">
        <v>27.1</v>
      </c>
      <c r="D33">
        <v>37</v>
      </c>
      <c r="E33">
        <v>48.9</v>
      </c>
      <c r="F33">
        <v>59.7</v>
      </c>
      <c r="G33">
        <v>66.900000000000006</v>
      </c>
      <c r="H33">
        <v>74.099999999999994</v>
      </c>
      <c r="I33">
        <v>70.8</v>
      </c>
      <c r="J33">
        <v>66.400000000000006</v>
      </c>
      <c r="K33">
        <v>53.4</v>
      </c>
      <c r="L33">
        <v>45.9</v>
      </c>
      <c r="M33">
        <v>36.9</v>
      </c>
      <c r="N33">
        <v>3.36</v>
      </c>
      <c r="O33">
        <v>3.84</v>
      </c>
      <c r="P33">
        <v>4.74</v>
      </c>
      <c r="Q33">
        <v>5.52</v>
      </c>
      <c r="R33">
        <v>4.87</v>
      </c>
      <c r="S33">
        <v>6.15</v>
      </c>
      <c r="T33">
        <v>2.17</v>
      </c>
      <c r="U33">
        <v>11.56</v>
      </c>
      <c r="V33">
        <v>7.78</v>
      </c>
      <c r="W33">
        <v>5.6</v>
      </c>
      <c r="X33">
        <v>3.57</v>
      </c>
      <c r="Y33">
        <v>4.53</v>
      </c>
      <c r="Z33">
        <v>1273</v>
      </c>
      <c r="AA33">
        <v>1038</v>
      </c>
      <c r="AB33">
        <v>848</v>
      </c>
      <c r="AC33">
        <v>471</v>
      </c>
      <c r="AD33">
        <v>176</v>
      </c>
      <c r="AE33">
        <v>24</v>
      </c>
      <c r="AF33">
        <v>0</v>
      </c>
      <c r="AG33">
        <v>4</v>
      </c>
      <c r="AH33">
        <v>35</v>
      </c>
      <c r="AI33">
        <v>340</v>
      </c>
      <c r="AJ33">
        <v>553</v>
      </c>
      <c r="AK33">
        <v>845</v>
      </c>
      <c r="AL33">
        <v>19</v>
      </c>
      <c r="AM33">
        <v>96</v>
      </c>
      <c r="AN33">
        <v>300</v>
      </c>
      <c r="AO33">
        <v>206</v>
      </c>
      <c r="AP33">
        <v>91</v>
      </c>
      <c r="AQ33">
        <v>0</v>
      </c>
      <c r="AS33">
        <f t="shared" si="3"/>
        <v>27.436800000000048</v>
      </c>
      <c r="AT33">
        <f t="shared" si="4"/>
        <v>29.304700000000043</v>
      </c>
      <c r="AU33">
        <f t="shared" si="5"/>
        <v>36.892200000000081</v>
      </c>
      <c r="AV33">
        <f t="shared" si="6"/>
        <v>47.888500000000107</v>
      </c>
      <c r="AW33">
        <f t="shared" si="7"/>
        <v>58.471400000000024</v>
      </c>
      <c r="AX33">
        <f t="shared" si="8"/>
        <v>66.907799999999853</v>
      </c>
      <c r="AY33">
        <f t="shared" si="9"/>
        <v>72.569300000000084</v>
      </c>
      <c r="AZ33">
        <f t="shared" si="10"/>
        <v>70.670300000000069</v>
      </c>
      <c r="BA33">
        <f t="shared" si="11"/>
        <v>64.154000000000053</v>
      </c>
      <c r="BB33">
        <f t="shared" si="12"/>
        <v>52.862099999999934</v>
      </c>
      <c r="BC33">
        <f t="shared" si="13"/>
        <v>42.356900000000032</v>
      </c>
      <c r="BD33">
        <f t="shared" si="14"/>
        <v>33.187400000000032</v>
      </c>
      <c r="BE33">
        <f t="shared" si="15"/>
        <v>3.6175000000000024</v>
      </c>
      <c r="BF33">
        <f t="shared" si="16"/>
        <v>3.1885999999999961</v>
      </c>
      <c r="BG33">
        <f t="shared" si="17"/>
        <v>5.2958000000000061</v>
      </c>
      <c r="BH33">
        <f t="shared" si="18"/>
        <v>5.9314000000000071</v>
      </c>
      <c r="BI33">
        <f t="shared" si="19"/>
        <v>5.0767000000000069</v>
      </c>
      <c r="BJ33">
        <f t="shared" si="20"/>
        <v>4.6507999999999878</v>
      </c>
      <c r="BK33">
        <f t="shared" si="21"/>
        <v>4.1477620000000091</v>
      </c>
      <c r="BL33">
        <f t="shared" si="22"/>
        <v>4.2554000000000096</v>
      </c>
      <c r="BM33">
        <f t="shared" si="23"/>
        <v>4.2497999999999978</v>
      </c>
      <c r="BN33">
        <f t="shared" si="24"/>
        <v>4.9655999999999905</v>
      </c>
      <c r="BO33">
        <f t="shared" si="25"/>
        <v>3.3122000000000034</v>
      </c>
      <c r="BP33">
        <f t="shared" si="26"/>
        <v>4.2459999999999969</v>
      </c>
      <c r="BQ33">
        <f t="shared" si="27"/>
        <v>1224.9455000000023</v>
      </c>
      <c r="BR33">
        <f t="shared" si="28"/>
        <v>907.08770000000152</v>
      </c>
      <c r="BS33">
        <f t="shared" si="29"/>
        <v>857.05269999999973</v>
      </c>
      <c r="BT33">
        <f t="shared" si="30"/>
        <v>512.29869999999926</v>
      </c>
      <c r="BU33">
        <f t="shared" si="31"/>
        <v>217.84000000000003</v>
      </c>
      <c r="BV33">
        <f t="shared" si="32"/>
        <v>26.960700000000045</v>
      </c>
      <c r="BW33">
        <f t="shared" si="33"/>
        <v>1.7701000000000029</v>
      </c>
      <c r="BX33">
        <f t="shared" si="34"/>
        <v>5.7164999999999813</v>
      </c>
      <c r="BY33">
        <f t="shared" si="35"/>
        <v>72.425199999999975</v>
      </c>
      <c r="BZ33">
        <f t="shared" si="36"/>
        <v>369.82020000000017</v>
      </c>
      <c r="CA33">
        <f t="shared" si="37"/>
        <v>659.64409999999873</v>
      </c>
      <c r="CB33">
        <f t="shared" si="38"/>
        <v>960.70869999999945</v>
      </c>
      <c r="CC33">
        <f t="shared" si="39"/>
        <v>15.986400000000017</v>
      </c>
      <c r="CD33">
        <f t="shared" si="40"/>
        <v>96.087900000000175</v>
      </c>
      <c r="CE33">
        <f t="shared" si="41"/>
        <v>252.31690000000017</v>
      </c>
      <c r="CF33">
        <f t="shared" si="42"/>
        <v>206.68900000000039</v>
      </c>
      <c r="CG33">
        <f t="shared" si="43"/>
        <v>59.64309999999994</v>
      </c>
      <c r="CH33">
        <f t="shared" si="44"/>
        <v>2.2307999999999999</v>
      </c>
      <c r="CJ33">
        <f t="shared" si="2"/>
        <v>-4.2368000000000485</v>
      </c>
      <c r="CK33">
        <f t="shared" si="47"/>
        <v>-2.2047000000000416</v>
      </c>
      <c r="CL33">
        <f t="shared" si="48"/>
        <v>0.10779999999991929</v>
      </c>
      <c r="CM33">
        <f t="shared" si="49"/>
        <v>1.0114999999998915</v>
      </c>
      <c r="CN33">
        <f t="shared" si="50"/>
        <v>1.2285999999999788</v>
      </c>
      <c r="CO33">
        <f t="shared" si="51"/>
        <v>-7.7999999998468184E-3</v>
      </c>
      <c r="CP33">
        <f t="shared" si="52"/>
        <v>1.5306999999999107</v>
      </c>
      <c r="CQ33">
        <f t="shared" si="53"/>
        <v>0.12969999999992865</v>
      </c>
      <c r="CR33">
        <f t="shared" si="54"/>
        <v>2.2459999999999525</v>
      </c>
      <c r="CS33">
        <f t="shared" si="55"/>
        <v>0.53790000000006444</v>
      </c>
      <c r="CT33">
        <f t="shared" si="56"/>
        <v>3.5430999999999671</v>
      </c>
      <c r="CU33">
        <f t="shared" si="57"/>
        <v>3.7125999999999664</v>
      </c>
      <c r="CV33">
        <f t="shared" si="58"/>
        <v>-0.2575000000000025</v>
      </c>
      <c r="CW33">
        <f t="shared" si="59"/>
        <v>0.65140000000000375</v>
      </c>
      <c r="CX33">
        <f t="shared" si="60"/>
        <v>-0.55580000000000584</v>
      </c>
      <c r="CY33">
        <f t="shared" si="61"/>
        <v>-0.41140000000000754</v>
      </c>
      <c r="CZ33">
        <f t="shared" si="62"/>
        <v>-0.20670000000000677</v>
      </c>
      <c r="DA33">
        <f t="shared" si="63"/>
        <v>1.4992000000000125</v>
      </c>
      <c r="DB33">
        <f t="shared" si="64"/>
        <v>-1.9777620000000091</v>
      </c>
      <c r="DC33">
        <f t="shared" si="65"/>
        <v>7.3045999999999909</v>
      </c>
      <c r="DD33">
        <f t="shared" si="66"/>
        <v>3.5302000000000024</v>
      </c>
      <c r="DE33">
        <f t="shared" si="67"/>
        <v>0.63440000000000918</v>
      </c>
      <c r="DF33">
        <f t="shared" si="68"/>
        <v>0.25779999999999648</v>
      </c>
      <c r="DG33">
        <f t="shared" si="69"/>
        <v>0.28400000000000336</v>
      </c>
      <c r="DH33">
        <f t="shared" si="70"/>
        <v>48.054499999997688</v>
      </c>
      <c r="DI33">
        <f t="shared" si="71"/>
        <v>130.91229999999848</v>
      </c>
      <c r="DJ33">
        <f t="shared" si="72"/>
        <v>-9.0526999999997315</v>
      </c>
      <c r="DK33">
        <f t="shared" si="73"/>
        <v>-41.298699999999258</v>
      </c>
      <c r="DL33">
        <f t="shared" si="74"/>
        <v>-41.840000000000032</v>
      </c>
      <c r="DM33">
        <f t="shared" si="75"/>
        <v>-2.9607000000000454</v>
      </c>
      <c r="DN33">
        <f t="shared" si="76"/>
        <v>-1.7701000000000029</v>
      </c>
      <c r="DO33">
        <f t="shared" si="77"/>
        <v>-1.7164999999999813</v>
      </c>
      <c r="DP33">
        <f t="shared" si="78"/>
        <v>-37.425199999999975</v>
      </c>
      <c r="DQ33">
        <f t="shared" si="79"/>
        <v>-29.82020000000017</v>
      </c>
      <c r="DR33">
        <f t="shared" si="80"/>
        <v>-106.64409999999873</v>
      </c>
      <c r="DS33">
        <f t="shared" si="81"/>
        <v>-115.70869999999945</v>
      </c>
      <c r="DT33">
        <f t="shared" si="82"/>
        <v>3.0135999999999825</v>
      </c>
      <c r="DU33">
        <f t="shared" si="83"/>
        <v>-8.7900000000175282E-2</v>
      </c>
      <c r="DV33">
        <f t="shared" si="84"/>
        <v>47.683099999999826</v>
      </c>
      <c r="DW33">
        <f t="shared" si="85"/>
        <v>-0.68900000000039086</v>
      </c>
      <c r="DX33">
        <f t="shared" si="45"/>
        <v>31.35690000000006</v>
      </c>
      <c r="DY33">
        <f t="shared" si="46"/>
        <v>-2.2307999999999999</v>
      </c>
    </row>
    <row r="34" spans="1:129" x14ac:dyDescent="0.25">
      <c r="A34">
        <v>2012</v>
      </c>
      <c r="B34">
        <v>31.7</v>
      </c>
      <c r="C34">
        <v>35</v>
      </c>
      <c r="D34">
        <v>45.8</v>
      </c>
      <c r="E34">
        <v>49.7</v>
      </c>
      <c r="F34">
        <v>61.6</v>
      </c>
      <c r="G34">
        <v>66.400000000000006</v>
      </c>
      <c r="H34">
        <v>74.099999999999994</v>
      </c>
      <c r="I34">
        <v>72</v>
      </c>
      <c r="J34">
        <v>63.3</v>
      </c>
      <c r="K34">
        <v>54.7</v>
      </c>
      <c r="L34">
        <v>39.4</v>
      </c>
      <c r="M34">
        <v>35.9</v>
      </c>
      <c r="N34">
        <v>2.86</v>
      </c>
      <c r="O34">
        <v>1.0900000000000001</v>
      </c>
      <c r="P34">
        <v>1.3</v>
      </c>
      <c r="Q34">
        <v>3</v>
      </c>
      <c r="R34">
        <v>3.94</v>
      </c>
      <c r="S34">
        <v>4.3</v>
      </c>
      <c r="T34">
        <v>3.78</v>
      </c>
      <c r="U34">
        <v>3.85</v>
      </c>
      <c r="V34">
        <v>5.41</v>
      </c>
      <c r="W34">
        <v>4.3600000000000003</v>
      </c>
      <c r="X34">
        <v>0.8</v>
      </c>
      <c r="Y34">
        <v>4.7</v>
      </c>
      <c r="Z34">
        <v>1006</v>
      </c>
      <c r="AA34">
        <v>819</v>
      </c>
      <c r="AB34">
        <v>586</v>
      </c>
      <c r="AC34">
        <v>443</v>
      </c>
      <c r="AD34">
        <v>134</v>
      </c>
      <c r="AE34">
        <v>30</v>
      </c>
      <c r="AF34">
        <v>0</v>
      </c>
      <c r="AG34">
        <v>1</v>
      </c>
      <c r="AH34">
        <v>78</v>
      </c>
      <c r="AI34">
        <v>305</v>
      </c>
      <c r="AJ34">
        <v>753</v>
      </c>
      <c r="AK34">
        <v>877</v>
      </c>
      <c r="AL34">
        <v>33</v>
      </c>
      <c r="AM34">
        <v>86</v>
      </c>
      <c r="AN34">
        <v>295</v>
      </c>
      <c r="AO34">
        <v>239</v>
      </c>
      <c r="AP34">
        <v>46</v>
      </c>
      <c r="AQ34">
        <v>2</v>
      </c>
      <c r="AS34">
        <f t="shared" si="3"/>
        <v>27.527600000000049</v>
      </c>
      <c r="AT34">
        <f t="shared" si="4"/>
        <v>29.322400000000044</v>
      </c>
      <c r="AU34">
        <f t="shared" si="5"/>
        <v>36.912400000000083</v>
      </c>
      <c r="AV34">
        <f t="shared" si="6"/>
        <v>47.919000000000111</v>
      </c>
      <c r="AW34">
        <f t="shared" si="7"/>
        <v>58.519800000000025</v>
      </c>
      <c r="AX34">
        <f t="shared" si="8"/>
        <v>66.952599999999848</v>
      </c>
      <c r="AY34">
        <f t="shared" si="9"/>
        <v>72.627600000000086</v>
      </c>
      <c r="AZ34">
        <f t="shared" si="10"/>
        <v>70.719600000000071</v>
      </c>
      <c r="BA34">
        <f t="shared" si="11"/>
        <v>64.269000000000048</v>
      </c>
      <c r="BB34">
        <f t="shared" si="12"/>
        <v>52.971199999999932</v>
      </c>
      <c r="BC34">
        <f t="shared" si="13"/>
        <v>42.409800000000033</v>
      </c>
      <c r="BD34">
        <f t="shared" si="14"/>
        <v>33.301800000000036</v>
      </c>
      <c r="BE34">
        <f t="shared" si="15"/>
        <v>3.6209000000000024</v>
      </c>
      <c r="BF34">
        <f t="shared" si="16"/>
        <v>3.191699999999996</v>
      </c>
      <c r="BG34">
        <f t="shared" si="17"/>
        <v>5.3182000000000063</v>
      </c>
      <c r="BH34">
        <f t="shared" si="18"/>
        <v>5.9637000000000073</v>
      </c>
      <c r="BI34">
        <f t="shared" si="19"/>
        <v>5.0968000000000071</v>
      </c>
      <c r="BJ34">
        <f t="shared" si="20"/>
        <v>4.6684999999999874</v>
      </c>
      <c r="BK34">
        <f t="shared" si="21"/>
        <v>4.1477640000000093</v>
      </c>
      <c r="BL34">
        <f t="shared" si="22"/>
        <v>4.26590000000001</v>
      </c>
      <c r="BM34">
        <f t="shared" si="23"/>
        <v>4.2707999999999977</v>
      </c>
      <c r="BN34">
        <f t="shared" si="24"/>
        <v>4.9965999999999902</v>
      </c>
      <c r="BO34">
        <f t="shared" si="25"/>
        <v>3.2466000000000035</v>
      </c>
      <c r="BP34">
        <f t="shared" si="26"/>
        <v>4.2740999999999971</v>
      </c>
      <c r="BQ34">
        <f t="shared" si="27"/>
        <v>1224.9760000000024</v>
      </c>
      <c r="BR34">
        <f t="shared" si="28"/>
        <v>904.31440000000157</v>
      </c>
      <c r="BS34">
        <f t="shared" si="29"/>
        <v>856.59439999999972</v>
      </c>
      <c r="BT34">
        <f t="shared" si="30"/>
        <v>511.70639999999923</v>
      </c>
      <c r="BU34">
        <f t="shared" si="31"/>
        <v>216.87000000000003</v>
      </c>
      <c r="BV34">
        <f t="shared" si="32"/>
        <v>26.388400000000047</v>
      </c>
      <c r="BW34">
        <f t="shared" si="33"/>
        <v>1.7306000000000028</v>
      </c>
      <c r="BX34">
        <f t="shared" si="34"/>
        <v>5.4599999999999813</v>
      </c>
      <c r="BY34">
        <f t="shared" si="35"/>
        <v>70.974399999999974</v>
      </c>
      <c r="BZ34">
        <f t="shared" si="36"/>
        <v>368.28440000000018</v>
      </c>
      <c r="CA34">
        <f t="shared" si="37"/>
        <v>658.13519999999869</v>
      </c>
      <c r="CB34">
        <f t="shared" si="38"/>
        <v>957.18639999999948</v>
      </c>
      <c r="CC34">
        <f t="shared" si="39"/>
        <v>16.276500000000016</v>
      </c>
      <c r="CD34">
        <f t="shared" si="40"/>
        <v>96.827800000000181</v>
      </c>
      <c r="CE34">
        <f t="shared" si="41"/>
        <v>254.05680000000018</v>
      </c>
      <c r="CF34">
        <f t="shared" si="42"/>
        <v>208.3880000000004</v>
      </c>
      <c r="CG34">
        <f t="shared" si="43"/>
        <v>61.097199999999937</v>
      </c>
      <c r="CH34">
        <f t="shared" si="44"/>
        <v>2.3195999999999999</v>
      </c>
      <c r="CJ34">
        <f t="shared" si="2"/>
        <v>4.1723999999999499</v>
      </c>
      <c r="CK34">
        <f t="shared" si="47"/>
        <v>5.6775999999999556</v>
      </c>
      <c r="CL34">
        <f t="shared" si="48"/>
        <v>8.8875999999999138</v>
      </c>
      <c r="CM34">
        <f t="shared" si="49"/>
        <v>1.7809999999998922</v>
      </c>
      <c r="CN34">
        <f t="shared" si="50"/>
        <v>3.0801999999999765</v>
      </c>
      <c r="CO34">
        <f t="shared" si="51"/>
        <v>-0.55259999999984188</v>
      </c>
      <c r="CP34">
        <f t="shared" si="52"/>
        <v>1.472399999999908</v>
      </c>
      <c r="CQ34">
        <f t="shared" si="53"/>
        <v>1.2803999999999292</v>
      </c>
      <c r="CR34">
        <f t="shared" si="54"/>
        <v>-0.96900000000005093</v>
      </c>
      <c r="CS34">
        <f t="shared" si="55"/>
        <v>1.7288000000000707</v>
      </c>
      <c r="CT34">
        <f t="shared" si="56"/>
        <v>-3.009800000000034</v>
      </c>
      <c r="CU34">
        <f t="shared" si="57"/>
        <v>2.598199999999963</v>
      </c>
      <c r="CV34">
        <f t="shared" si="58"/>
        <v>-0.76090000000000257</v>
      </c>
      <c r="CW34">
        <f t="shared" si="59"/>
        <v>-2.1016999999999957</v>
      </c>
      <c r="CX34">
        <f t="shared" si="60"/>
        <v>-4.0182000000000064</v>
      </c>
      <c r="CY34">
        <f t="shared" si="61"/>
        <v>-2.9637000000000073</v>
      </c>
      <c r="CZ34">
        <f t="shared" si="62"/>
        <v>-1.1568000000000072</v>
      </c>
      <c r="DA34">
        <f t="shared" si="63"/>
        <v>-0.36849999999998762</v>
      </c>
      <c r="DB34">
        <f t="shared" si="64"/>
        <v>-0.36776400000000953</v>
      </c>
      <c r="DC34">
        <f t="shared" si="65"/>
        <v>-0.41590000000000993</v>
      </c>
      <c r="DD34">
        <f t="shared" si="66"/>
        <v>1.1392000000000024</v>
      </c>
      <c r="DE34">
        <f t="shared" si="67"/>
        <v>-0.63659999999998984</v>
      </c>
      <c r="DF34">
        <f t="shared" si="68"/>
        <v>-2.4466000000000037</v>
      </c>
      <c r="DG34">
        <f t="shared" si="69"/>
        <v>0.42590000000000305</v>
      </c>
      <c r="DH34">
        <f t="shared" si="70"/>
        <v>-218.97600000000239</v>
      </c>
      <c r="DI34">
        <f t="shared" si="71"/>
        <v>-85.314400000001569</v>
      </c>
      <c r="DJ34">
        <f t="shared" si="72"/>
        <v>-270.59439999999972</v>
      </c>
      <c r="DK34">
        <f t="shared" si="73"/>
        <v>-68.706399999999235</v>
      </c>
      <c r="DL34">
        <f t="shared" si="74"/>
        <v>-82.870000000000033</v>
      </c>
      <c r="DM34">
        <f t="shared" si="75"/>
        <v>3.6115999999999531</v>
      </c>
      <c r="DN34">
        <f t="shared" si="76"/>
        <v>-1.7306000000000028</v>
      </c>
      <c r="DO34">
        <f t="shared" si="77"/>
        <v>-4.4599999999999813</v>
      </c>
      <c r="DP34">
        <f t="shared" si="78"/>
        <v>7.0256000000000256</v>
      </c>
      <c r="DQ34">
        <f t="shared" si="79"/>
        <v>-63.284400000000176</v>
      </c>
      <c r="DR34">
        <f t="shared" si="80"/>
        <v>94.86480000000131</v>
      </c>
      <c r="DS34">
        <f t="shared" si="81"/>
        <v>-80.18639999999948</v>
      </c>
      <c r="DT34">
        <f t="shared" si="82"/>
        <v>16.723499999999984</v>
      </c>
      <c r="DU34">
        <f t="shared" si="83"/>
        <v>-10.827800000000181</v>
      </c>
      <c r="DV34">
        <f t="shared" si="84"/>
        <v>40.94319999999982</v>
      </c>
      <c r="DW34">
        <f t="shared" si="85"/>
        <v>30.611999999999597</v>
      </c>
      <c r="DX34">
        <f t="shared" si="45"/>
        <v>-15.097199999999937</v>
      </c>
      <c r="DY34">
        <f t="shared" si="46"/>
        <v>-0.31959999999999988</v>
      </c>
    </row>
    <row r="35" spans="1:129" x14ac:dyDescent="0.25">
      <c r="A35">
        <v>2013</v>
      </c>
      <c r="B35">
        <v>28.8</v>
      </c>
      <c r="C35">
        <v>29.2</v>
      </c>
      <c r="D35">
        <v>36</v>
      </c>
      <c r="E35">
        <v>47.3</v>
      </c>
      <c r="F35">
        <v>58.2</v>
      </c>
      <c r="G35">
        <v>67.7</v>
      </c>
      <c r="H35">
        <v>75.900000000000006</v>
      </c>
      <c r="I35">
        <v>68.7</v>
      </c>
      <c r="J35">
        <v>61.4</v>
      </c>
      <c r="K35">
        <v>53.4</v>
      </c>
      <c r="L35">
        <v>39.799999999999997</v>
      </c>
      <c r="M35">
        <v>31</v>
      </c>
      <c r="N35">
        <v>1.72</v>
      </c>
      <c r="O35">
        <v>3.62</v>
      </c>
      <c r="P35">
        <v>2.35</v>
      </c>
      <c r="Q35">
        <v>1.49</v>
      </c>
      <c r="R35">
        <v>4.47</v>
      </c>
      <c r="S35">
        <v>10.6</v>
      </c>
      <c r="T35">
        <v>3.67</v>
      </c>
      <c r="U35">
        <v>3.92</v>
      </c>
      <c r="V35">
        <v>2.84</v>
      </c>
      <c r="W35">
        <v>1.36</v>
      </c>
      <c r="X35">
        <v>3.7</v>
      </c>
      <c r="Y35">
        <v>3.65</v>
      </c>
      <c r="Z35">
        <v>1096</v>
      </c>
      <c r="AA35">
        <v>982</v>
      </c>
      <c r="AB35">
        <v>878</v>
      </c>
      <c r="AC35">
        <v>516</v>
      </c>
      <c r="AD35">
        <v>214</v>
      </c>
      <c r="AE35">
        <v>18</v>
      </c>
      <c r="AF35">
        <v>0</v>
      </c>
      <c r="AG35">
        <v>14</v>
      </c>
      <c r="AH35">
        <v>114</v>
      </c>
      <c r="AI35">
        <v>340</v>
      </c>
      <c r="AJ35">
        <v>735</v>
      </c>
      <c r="AK35">
        <v>1026</v>
      </c>
      <c r="AL35">
        <v>11</v>
      </c>
      <c r="AM35">
        <v>112</v>
      </c>
      <c r="AN35">
        <v>353</v>
      </c>
      <c r="AO35">
        <v>145</v>
      </c>
      <c r="AP35">
        <v>23</v>
      </c>
      <c r="AQ35">
        <v>0</v>
      </c>
      <c r="AS35">
        <f t="shared" si="3"/>
        <v>27.618400000000051</v>
      </c>
      <c r="AT35">
        <f t="shared" si="4"/>
        <v>29.340100000000046</v>
      </c>
      <c r="AU35">
        <f t="shared" si="5"/>
        <v>36.932600000000086</v>
      </c>
      <c r="AV35">
        <f t="shared" si="6"/>
        <v>47.949500000000114</v>
      </c>
      <c r="AW35">
        <f t="shared" si="7"/>
        <v>58.568200000000026</v>
      </c>
      <c r="AX35">
        <f t="shared" si="8"/>
        <v>66.997399999999843</v>
      </c>
      <c r="AY35">
        <f t="shared" si="9"/>
        <v>72.685900000000089</v>
      </c>
      <c r="AZ35">
        <f t="shared" si="10"/>
        <v>70.768900000000073</v>
      </c>
      <c r="BA35">
        <f t="shared" si="11"/>
        <v>64.384000000000043</v>
      </c>
      <c r="BB35">
        <f t="shared" si="12"/>
        <v>53.08029999999993</v>
      </c>
      <c r="BC35">
        <f t="shared" si="13"/>
        <v>42.462700000000034</v>
      </c>
      <c r="BD35">
        <f t="shared" si="14"/>
        <v>33.416200000000039</v>
      </c>
      <c r="BE35">
        <f t="shared" si="15"/>
        <v>3.6243000000000025</v>
      </c>
      <c r="BF35">
        <f t="shared" si="16"/>
        <v>3.1947999999999959</v>
      </c>
      <c r="BG35">
        <f t="shared" si="17"/>
        <v>5.3406000000000065</v>
      </c>
      <c r="BH35">
        <f t="shared" si="18"/>
        <v>5.9960000000000075</v>
      </c>
      <c r="BI35">
        <f t="shared" si="19"/>
        <v>5.1169000000000073</v>
      </c>
      <c r="BJ35">
        <f t="shared" si="20"/>
        <v>4.686199999999987</v>
      </c>
      <c r="BK35">
        <f t="shared" si="21"/>
        <v>4.1477660000000096</v>
      </c>
      <c r="BL35">
        <f t="shared" si="22"/>
        <v>4.2764000000000104</v>
      </c>
      <c r="BM35">
        <f t="shared" si="23"/>
        <v>4.2917999999999976</v>
      </c>
      <c r="BN35">
        <f t="shared" si="24"/>
        <v>5.0275999999999899</v>
      </c>
      <c r="BO35">
        <f t="shared" si="25"/>
        <v>3.1810000000000036</v>
      </c>
      <c r="BP35">
        <f t="shared" si="26"/>
        <v>4.3021999999999974</v>
      </c>
      <c r="BQ35">
        <f t="shared" si="27"/>
        <v>1225.0065000000025</v>
      </c>
      <c r="BR35">
        <f t="shared" si="28"/>
        <v>901.54110000000162</v>
      </c>
      <c r="BS35">
        <f t="shared" si="29"/>
        <v>856.13609999999971</v>
      </c>
      <c r="BT35">
        <f t="shared" si="30"/>
        <v>511.11409999999921</v>
      </c>
      <c r="BU35">
        <f t="shared" si="31"/>
        <v>215.90000000000003</v>
      </c>
      <c r="BV35">
        <f t="shared" si="32"/>
        <v>25.816100000000048</v>
      </c>
      <c r="BW35">
        <f t="shared" si="33"/>
        <v>1.6911000000000027</v>
      </c>
      <c r="BX35">
        <f t="shared" si="34"/>
        <v>5.2034999999999814</v>
      </c>
      <c r="BY35">
        <f t="shared" si="35"/>
        <v>69.523599999999973</v>
      </c>
      <c r="BZ35">
        <f t="shared" si="36"/>
        <v>366.74860000000018</v>
      </c>
      <c r="CA35">
        <f t="shared" si="37"/>
        <v>656.62629999999865</v>
      </c>
      <c r="CB35">
        <f t="shared" si="38"/>
        <v>953.66409999999951</v>
      </c>
      <c r="CC35">
        <f t="shared" si="39"/>
        <v>16.566600000000015</v>
      </c>
      <c r="CD35">
        <f t="shared" si="40"/>
        <v>97.567700000000187</v>
      </c>
      <c r="CE35">
        <f t="shared" si="41"/>
        <v>255.79670000000019</v>
      </c>
      <c r="CF35">
        <f t="shared" si="42"/>
        <v>210.08700000000042</v>
      </c>
      <c r="CG35">
        <f t="shared" si="43"/>
        <v>62.551299999999934</v>
      </c>
      <c r="CH35">
        <f t="shared" si="44"/>
        <v>2.4083999999999999</v>
      </c>
      <c r="CJ35">
        <f t="shared" si="2"/>
        <v>1.1815999999999498</v>
      </c>
      <c r="CK35">
        <f t="shared" si="47"/>
        <v>-0.14010000000004652</v>
      </c>
      <c r="CL35">
        <f t="shared" si="48"/>
        <v>-0.93260000000008603</v>
      </c>
      <c r="CM35">
        <f t="shared" si="49"/>
        <v>-0.64950000000011698</v>
      </c>
      <c r="CN35">
        <f t="shared" si="50"/>
        <v>-0.36820000000002295</v>
      </c>
      <c r="CO35">
        <f t="shared" si="51"/>
        <v>0.70260000000016021</v>
      </c>
      <c r="CP35">
        <f t="shared" si="52"/>
        <v>3.2140999999999167</v>
      </c>
      <c r="CQ35">
        <f t="shared" si="53"/>
        <v>-2.0689000000000703</v>
      </c>
      <c r="CR35">
        <f t="shared" si="54"/>
        <v>-2.9840000000000444</v>
      </c>
      <c r="CS35">
        <f t="shared" si="55"/>
        <v>0.31970000000006848</v>
      </c>
      <c r="CT35">
        <f t="shared" si="56"/>
        <v>-2.6627000000000365</v>
      </c>
      <c r="CU35">
        <f t="shared" si="57"/>
        <v>-2.416200000000039</v>
      </c>
      <c r="CV35">
        <f t="shared" si="58"/>
        <v>-1.9043000000000025</v>
      </c>
      <c r="CW35">
        <f t="shared" si="59"/>
        <v>0.42520000000000424</v>
      </c>
      <c r="CX35">
        <f t="shared" si="60"/>
        <v>-2.9906000000000064</v>
      </c>
      <c r="CY35">
        <f t="shared" si="61"/>
        <v>-4.5060000000000073</v>
      </c>
      <c r="CZ35">
        <f t="shared" si="62"/>
        <v>-0.64690000000000758</v>
      </c>
      <c r="DA35">
        <f t="shared" si="63"/>
        <v>5.9138000000000126</v>
      </c>
      <c r="DB35">
        <f t="shared" si="64"/>
        <v>-0.47776600000000968</v>
      </c>
      <c r="DC35">
        <f t="shared" si="65"/>
        <v>-0.35640000000001049</v>
      </c>
      <c r="DD35">
        <f t="shared" si="66"/>
        <v>-1.4517999999999978</v>
      </c>
      <c r="DE35">
        <f t="shared" si="67"/>
        <v>-3.6675999999999895</v>
      </c>
      <c r="DF35">
        <f t="shared" si="68"/>
        <v>0.51899999999999658</v>
      </c>
      <c r="DG35">
        <f t="shared" si="69"/>
        <v>-0.65219999999999745</v>
      </c>
      <c r="DH35">
        <f t="shared" si="70"/>
        <v>-129.00650000000246</v>
      </c>
      <c r="DI35">
        <f t="shared" si="71"/>
        <v>80.45889999999838</v>
      </c>
      <c r="DJ35">
        <f t="shared" si="72"/>
        <v>21.863900000000285</v>
      </c>
      <c r="DK35">
        <f t="shared" si="73"/>
        <v>4.8859000000007882</v>
      </c>
      <c r="DL35">
        <f t="shared" si="74"/>
        <v>-1.9000000000000341</v>
      </c>
      <c r="DM35">
        <f t="shared" si="75"/>
        <v>-7.8161000000000485</v>
      </c>
      <c r="DN35">
        <f t="shared" si="76"/>
        <v>-1.6911000000000027</v>
      </c>
      <c r="DO35">
        <f t="shared" si="77"/>
        <v>8.7965000000000195</v>
      </c>
      <c r="DP35">
        <f t="shared" si="78"/>
        <v>44.476400000000027</v>
      </c>
      <c r="DQ35">
        <f t="shared" si="79"/>
        <v>-26.748600000000181</v>
      </c>
      <c r="DR35">
        <f t="shared" si="80"/>
        <v>78.37370000000135</v>
      </c>
      <c r="DS35">
        <f t="shared" si="81"/>
        <v>72.335900000000493</v>
      </c>
      <c r="DT35">
        <f t="shared" si="82"/>
        <v>-5.5666000000000153</v>
      </c>
      <c r="DU35">
        <f t="shared" si="83"/>
        <v>14.432299999999813</v>
      </c>
      <c r="DV35">
        <f t="shared" si="84"/>
        <v>97.203299999999814</v>
      </c>
      <c r="DW35">
        <f t="shared" si="85"/>
        <v>-65.087000000000415</v>
      </c>
      <c r="DX35">
        <f t="shared" si="45"/>
        <v>-39.551299999999934</v>
      </c>
      <c r="DY35">
        <f t="shared" si="46"/>
        <v>-2.4083999999999999</v>
      </c>
    </row>
    <row r="36" spans="1:129" x14ac:dyDescent="0.25">
      <c r="A36">
        <v>2014</v>
      </c>
      <c r="B36">
        <v>23.6</v>
      </c>
      <c r="C36">
        <v>25</v>
      </c>
      <c r="D36">
        <v>30.6</v>
      </c>
      <c r="E36">
        <v>46.7</v>
      </c>
      <c r="F36">
        <v>58.3</v>
      </c>
      <c r="G36">
        <v>66.8</v>
      </c>
      <c r="H36">
        <v>71.900000000000006</v>
      </c>
      <c r="I36">
        <v>68.400000000000006</v>
      </c>
      <c r="J36">
        <v>63.6</v>
      </c>
      <c r="K36">
        <v>54.1</v>
      </c>
      <c r="L36">
        <v>39.700000000000003</v>
      </c>
      <c r="M36">
        <v>35.4</v>
      </c>
      <c r="N36">
        <v>2.8</v>
      </c>
      <c r="O36">
        <v>3.42</v>
      </c>
      <c r="P36">
        <v>4.22</v>
      </c>
      <c r="Q36">
        <v>4.38</v>
      </c>
      <c r="R36">
        <v>4.79</v>
      </c>
      <c r="S36">
        <v>2.41</v>
      </c>
      <c r="T36">
        <v>4.84</v>
      </c>
      <c r="U36">
        <v>3.05</v>
      </c>
      <c r="V36">
        <v>1.39</v>
      </c>
      <c r="W36">
        <v>4.67</v>
      </c>
      <c r="X36">
        <v>4.16</v>
      </c>
      <c r="Y36">
        <v>4.88</v>
      </c>
      <c r="Z36">
        <v>1258</v>
      </c>
      <c r="AA36">
        <v>1096</v>
      </c>
      <c r="AB36">
        <v>1040</v>
      </c>
      <c r="AC36">
        <v>537</v>
      </c>
      <c r="AD36">
        <v>207</v>
      </c>
      <c r="AE36">
        <v>26</v>
      </c>
      <c r="AF36">
        <v>0</v>
      </c>
      <c r="AG36">
        <v>16</v>
      </c>
      <c r="AH36">
        <v>72</v>
      </c>
      <c r="AI36">
        <v>321</v>
      </c>
      <c r="AJ36">
        <v>739</v>
      </c>
      <c r="AK36">
        <v>896</v>
      </c>
      <c r="AL36">
        <v>13</v>
      </c>
      <c r="AM36">
        <v>92</v>
      </c>
      <c r="AN36">
        <v>233</v>
      </c>
      <c r="AO36">
        <v>138</v>
      </c>
      <c r="AP36">
        <v>50</v>
      </c>
      <c r="AQ36">
        <v>2</v>
      </c>
      <c r="AS36">
        <f t="shared" si="3"/>
        <v>27.709200000000052</v>
      </c>
      <c r="AT36">
        <f t="shared" si="4"/>
        <v>29.357800000000047</v>
      </c>
      <c r="AU36">
        <f t="shared" si="5"/>
        <v>36.952800000000089</v>
      </c>
      <c r="AV36">
        <f t="shared" si="6"/>
        <v>47.980000000000118</v>
      </c>
      <c r="AW36">
        <f t="shared" si="7"/>
        <v>58.616600000000027</v>
      </c>
      <c r="AX36">
        <f t="shared" si="8"/>
        <v>67.042199999999838</v>
      </c>
      <c r="AY36">
        <f t="shared" si="9"/>
        <v>72.744200000000092</v>
      </c>
      <c r="AZ36">
        <f t="shared" si="10"/>
        <v>70.818200000000076</v>
      </c>
      <c r="BA36">
        <f t="shared" si="11"/>
        <v>64.499000000000038</v>
      </c>
      <c r="BB36">
        <f t="shared" si="12"/>
        <v>53.189399999999928</v>
      </c>
      <c r="BC36">
        <f t="shared" si="13"/>
        <v>42.515600000000035</v>
      </c>
      <c r="BD36">
        <f t="shared" si="14"/>
        <v>33.530600000000042</v>
      </c>
      <c r="BE36">
        <f t="shared" si="15"/>
        <v>3.6277000000000026</v>
      </c>
      <c r="BF36">
        <f t="shared" si="16"/>
        <v>3.1978999999999957</v>
      </c>
      <c r="BG36">
        <f t="shared" si="17"/>
        <v>5.3630000000000067</v>
      </c>
      <c r="BH36">
        <f t="shared" si="18"/>
        <v>6.0283000000000078</v>
      </c>
      <c r="BI36">
        <f t="shared" si="19"/>
        <v>5.1370000000000076</v>
      </c>
      <c r="BJ36">
        <f t="shared" si="20"/>
        <v>4.7038999999999866</v>
      </c>
      <c r="BK36">
        <f t="shared" si="21"/>
        <v>4.1477680000000099</v>
      </c>
      <c r="BL36">
        <f t="shared" si="22"/>
        <v>4.2869000000000108</v>
      </c>
      <c r="BM36">
        <f t="shared" si="23"/>
        <v>4.3127999999999975</v>
      </c>
      <c r="BN36">
        <f t="shared" si="24"/>
        <v>5.0585999999999895</v>
      </c>
      <c r="BO36">
        <f t="shared" si="25"/>
        <v>3.1154000000000037</v>
      </c>
      <c r="BP36">
        <f t="shared" si="26"/>
        <v>4.3302999999999976</v>
      </c>
      <c r="BQ36">
        <f t="shared" si="27"/>
        <v>1225.0370000000025</v>
      </c>
      <c r="BR36">
        <f t="shared" si="28"/>
        <v>898.76780000000167</v>
      </c>
      <c r="BS36">
        <f t="shared" si="29"/>
        <v>855.67779999999971</v>
      </c>
      <c r="BT36">
        <f t="shared" si="30"/>
        <v>510.52179999999919</v>
      </c>
      <c r="BU36">
        <f t="shared" si="31"/>
        <v>214.93000000000004</v>
      </c>
      <c r="BV36">
        <f t="shared" si="32"/>
        <v>25.24380000000005</v>
      </c>
      <c r="BW36">
        <f t="shared" si="33"/>
        <v>1.6516000000000026</v>
      </c>
      <c r="BX36">
        <f t="shared" si="34"/>
        <v>4.9469999999999814</v>
      </c>
      <c r="BY36">
        <f t="shared" si="35"/>
        <v>68.072799999999972</v>
      </c>
      <c r="BZ36">
        <f t="shared" si="36"/>
        <v>365.21280000000019</v>
      </c>
      <c r="CA36">
        <f t="shared" si="37"/>
        <v>655.11739999999861</v>
      </c>
      <c r="CB36">
        <f t="shared" si="38"/>
        <v>950.14179999999953</v>
      </c>
      <c r="CC36">
        <f t="shared" si="39"/>
        <v>16.856700000000014</v>
      </c>
      <c r="CD36">
        <f t="shared" si="40"/>
        <v>98.307600000000193</v>
      </c>
      <c r="CE36">
        <f t="shared" si="41"/>
        <v>257.53660000000019</v>
      </c>
      <c r="CF36">
        <f t="shared" si="42"/>
        <v>211.78600000000043</v>
      </c>
      <c r="CG36">
        <f t="shared" si="43"/>
        <v>64.005399999999938</v>
      </c>
      <c r="CH36">
        <f t="shared" si="44"/>
        <v>2.4971999999999999</v>
      </c>
      <c r="CJ36">
        <f t="shared" si="2"/>
        <v>-4.109200000000051</v>
      </c>
      <c r="CK36">
        <f t="shared" si="47"/>
        <v>-4.3578000000000472</v>
      </c>
      <c r="CL36">
        <f t="shared" si="48"/>
        <v>-6.3528000000000873</v>
      </c>
      <c r="CM36">
        <f t="shared" si="49"/>
        <v>-1.2800000000001148</v>
      </c>
      <c r="CN36">
        <f t="shared" si="50"/>
        <v>-0.31660000000002952</v>
      </c>
      <c r="CO36">
        <f t="shared" si="51"/>
        <v>-0.24219999999984054</v>
      </c>
      <c r="CP36">
        <f t="shared" si="52"/>
        <v>-0.84420000000008599</v>
      </c>
      <c r="CQ36">
        <f t="shared" si="53"/>
        <v>-2.4182000000000698</v>
      </c>
      <c r="CR36">
        <f t="shared" si="54"/>
        <v>-0.89900000000003644</v>
      </c>
      <c r="CS36">
        <f t="shared" si="55"/>
        <v>0.91060000000007335</v>
      </c>
      <c r="CT36">
        <f t="shared" si="56"/>
        <v>-2.8156000000000319</v>
      </c>
      <c r="CU36">
        <f t="shared" si="57"/>
        <v>1.8693999999999562</v>
      </c>
      <c r="CV36">
        <f t="shared" si="58"/>
        <v>-0.82770000000000277</v>
      </c>
      <c r="CW36">
        <f t="shared" si="59"/>
        <v>0.22210000000000418</v>
      </c>
      <c r="CX36">
        <f t="shared" si="60"/>
        <v>-1.1430000000000069</v>
      </c>
      <c r="CY36">
        <f t="shared" si="61"/>
        <v>-1.6483000000000079</v>
      </c>
      <c r="CZ36">
        <f t="shared" si="62"/>
        <v>-0.34700000000000752</v>
      </c>
      <c r="DA36">
        <f t="shared" si="63"/>
        <v>-2.2938999999999865</v>
      </c>
      <c r="DB36">
        <f t="shared" si="64"/>
        <v>0.69223199999998997</v>
      </c>
      <c r="DC36">
        <f t="shared" si="65"/>
        <v>-1.236900000000011</v>
      </c>
      <c r="DD36">
        <f t="shared" si="66"/>
        <v>-2.9227999999999978</v>
      </c>
      <c r="DE36">
        <f t="shared" si="67"/>
        <v>-0.38859999999998962</v>
      </c>
      <c r="DF36">
        <f t="shared" si="68"/>
        <v>1.0445999999999964</v>
      </c>
      <c r="DG36">
        <f t="shared" si="69"/>
        <v>0.5497000000000023</v>
      </c>
      <c r="DH36">
        <f t="shared" si="70"/>
        <v>32.962999999997464</v>
      </c>
      <c r="DI36">
        <f t="shared" si="71"/>
        <v>197.23219999999833</v>
      </c>
      <c r="DJ36">
        <f t="shared" si="72"/>
        <v>184.32220000000029</v>
      </c>
      <c r="DK36">
        <f t="shared" si="73"/>
        <v>26.478200000000811</v>
      </c>
      <c r="DL36">
        <f t="shared" si="74"/>
        <v>-7.9300000000000352</v>
      </c>
      <c r="DM36">
        <f t="shared" si="75"/>
        <v>0.75619999999995002</v>
      </c>
      <c r="DN36">
        <f t="shared" si="76"/>
        <v>-1.6516000000000026</v>
      </c>
      <c r="DO36">
        <f t="shared" si="77"/>
        <v>11.053000000000019</v>
      </c>
      <c r="DP36">
        <f t="shared" si="78"/>
        <v>3.9272000000000276</v>
      </c>
      <c r="DQ36">
        <f t="shared" si="79"/>
        <v>-44.212800000000186</v>
      </c>
      <c r="DR36">
        <f t="shared" si="80"/>
        <v>83.882600000001389</v>
      </c>
      <c r="DS36">
        <f t="shared" si="81"/>
        <v>-54.141799999999535</v>
      </c>
      <c r="DT36">
        <f t="shared" si="82"/>
        <v>-3.8567000000000142</v>
      </c>
      <c r="DU36">
        <f t="shared" si="83"/>
        <v>-6.3076000000001926</v>
      </c>
      <c r="DV36">
        <f t="shared" si="84"/>
        <v>-24.536600000000192</v>
      </c>
      <c r="DW36">
        <f t="shared" si="85"/>
        <v>-73.786000000000428</v>
      </c>
      <c r="DX36">
        <f t="shared" si="45"/>
        <v>-14.005399999999938</v>
      </c>
      <c r="DY36">
        <f t="shared" si="46"/>
        <v>-0.49719999999999986</v>
      </c>
    </row>
    <row r="37" spans="1:129" x14ac:dyDescent="0.25">
      <c r="A37">
        <v>2015</v>
      </c>
      <c r="B37">
        <v>23.3</v>
      </c>
      <c r="C37">
        <v>15.8</v>
      </c>
      <c r="D37">
        <v>31</v>
      </c>
      <c r="E37">
        <v>47</v>
      </c>
      <c r="F37">
        <v>62.7</v>
      </c>
      <c r="G37">
        <v>65.3</v>
      </c>
      <c r="H37">
        <v>72.2</v>
      </c>
      <c r="I37">
        <v>72</v>
      </c>
      <c r="J37">
        <v>67.8</v>
      </c>
      <c r="K37">
        <v>51.4</v>
      </c>
      <c r="L37">
        <v>46.1</v>
      </c>
      <c r="M37">
        <v>43.5</v>
      </c>
      <c r="N37">
        <v>3.47</v>
      </c>
      <c r="O37">
        <v>2.0099999999999998</v>
      </c>
      <c r="P37">
        <v>3.05</v>
      </c>
      <c r="Q37">
        <v>2.74</v>
      </c>
      <c r="R37">
        <v>1.21</v>
      </c>
      <c r="S37">
        <v>6.35</v>
      </c>
      <c r="T37">
        <v>2.81</v>
      </c>
      <c r="U37">
        <v>2.14</v>
      </c>
      <c r="V37">
        <v>3.62</v>
      </c>
      <c r="W37">
        <v>3.31</v>
      </c>
      <c r="X37">
        <v>2.23</v>
      </c>
      <c r="Y37">
        <v>4.1399999999999997</v>
      </c>
      <c r="Z37">
        <v>1264</v>
      </c>
      <c r="AA37">
        <v>1352</v>
      </c>
      <c r="AB37">
        <v>1032</v>
      </c>
      <c r="AC37">
        <v>524</v>
      </c>
      <c r="AD37">
        <v>116</v>
      </c>
      <c r="AE37">
        <v>44</v>
      </c>
      <c r="AF37">
        <v>0</v>
      </c>
      <c r="AG37">
        <v>1</v>
      </c>
      <c r="AH37">
        <v>21</v>
      </c>
      <c r="AI37">
        <v>398</v>
      </c>
      <c r="AJ37">
        <v>549</v>
      </c>
      <c r="AK37">
        <v>643</v>
      </c>
      <c r="AL37">
        <v>43</v>
      </c>
      <c r="AM37">
        <v>66</v>
      </c>
      <c r="AN37">
        <v>244</v>
      </c>
      <c r="AO37">
        <v>239</v>
      </c>
      <c r="AP37">
        <v>120</v>
      </c>
      <c r="AQ37">
        <v>0</v>
      </c>
      <c r="AS37">
        <f t="shared" si="3"/>
        <v>27.800000000000054</v>
      </c>
      <c r="AT37">
        <f t="shared" si="4"/>
        <v>29.375500000000049</v>
      </c>
      <c r="AU37">
        <f t="shared" si="5"/>
        <v>36.973000000000091</v>
      </c>
      <c r="AV37">
        <f t="shared" si="6"/>
        <v>48.010500000000121</v>
      </c>
      <c r="AW37">
        <f t="shared" si="7"/>
        <v>58.665000000000028</v>
      </c>
      <c r="AX37">
        <f t="shared" si="8"/>
        <v>67.086999999999833</v>
      </c>
      <c r="AY37">
        <f t="shared" si="9"/>
        <v>72.802500000000094</v>
      </c>
      <c r="AZ37">
        <f t="shared" si="10"/>
        <v>70.867500000000078</v>
      </c>
      <c r="BA37">
        <f t="shared" si="11"/>
        <v>64.614000000000033</v>
      </c>
      <c r="BB37">
        <f t="shared" si="12"/>
        <v>53.298499999999926</v>
      </c>
      <c r="BC37">
        <f t="shared" si="13"/>
        <v>42.568500000000036</v>
      </c>
      <c r="BD37">
        <f t="shared" si="14"/>
        <v>33.645000000000046</v>
      </c>
      <c r="BE37">
        <f t="shared" si="15"/>
        <v>3.6311000000000027</v>
      </c>
      <c r="BF37">
        <f t="shared" si="16"/>
        <v>3.2009999999999956</v>
      </c>
      <c r="BG37">
        <f t="shared" si="17"/>
        <v>5.3854000000000068</v>
      </c>
      <c r="BH37">
        <f t="shared" si="18"/>
        <v>6.060600000000008</v>
      </c>
      <c r="BI37">
        <f t="shared" si="19"/>
        <v>5.1571000000000078</v>
      </c>
      <c r="BJ37">
        <f t="shared" si="20"/>
        <v>4.7215999999999863</v>
      </c>
      <c r="BK37">
        <f t="shared" si="21"/>
        <v>4.1477700000000102</v>
      </c>
      <c r="BL37">
        <f t="shared" si="22"/>
        <v>4.2974000000000112</v>
      </c>
      <c r="BM37">
        <f t="shared" si="23"/>
        <v>4.3337999999999974</v>
      </c>
      <c r="BN37">
        <f t="shared" si="24"/>
        <v>5.0895999999999892</v>
      </c>
      <c r="BO37">
        <f t="shared" si="25"/>
        <v>3.0498000000000038</v>
      </c>
      <c r="BP37">
        <f t="shared" si="26"/>
        <v>4.3583999999999978</v>
      </c>
      <c r="BQ37">
        <f t="shared" si="27"/>
        <v>1225.0675000000026</v>
      </c>
      <c r="BR37">
        <f t="shared" si="28"/>
        <v>895.99450000000172</v>
      </c>
      <c r="BS37">
        <f t="shared" si="29"/>
        <v>855.2194999999997</v>
      </c>
      <c r="BT37">
        <f t="shared" si="30"/>
        <v>509.92949999999917</v>
      </c>
      <c r="BU37">
        <f t="shared" si="31"/>
        <v>213.96000000000004</v>
      </c>
      <c r="BV37">
        <f t="shared" si="32"/>
        <v>24.671500000000052</v>
      </c>
      <c r="BW37">
        <f t="shared" si="33"/>
        <v>1.6121000000000025</v>
      </c>
      <c r="BX37">
        <f t="shared" si="34"/>
        <v>4.6904999999999815</v>
      </c>
      <c r="BY37">
        <f t="shared" si="35"/>
        <v>66.621999999999971</v>
      </c>
      <c r="BZ37">
        <f t="shared" si="36"/>
        <v>363.67700000000019</v>
      </c>
      <c r="CA37">
        <f t="shared" si="37"/>
        <v>653.60849999999857</v>
      </c>
      <c r="CB37">
        <f t="shared" si="38"/>
        <v>946.61949999999956</v>
      </c>
      <c r="CC37">
        <f t="shared" si="39"/>
        <v>17.146800000000013</v>
      </c>
      <c r="CD37">
        <f t="shared" si="40"/>
        <v>99.047500000000198</v>
      </c>
      <c r="CE37">
        <f t="shared" si="41"/>
        <v>259.27650000000017</v>
      </c>
      <c r="CF37">
        <f t="shared" si="42"/>
        <v>213.48500000000044</v>
      </c>
      <c r="CG37">
        <f t="shared" si="43"/>
        <v>65.459499999999935</v>
      </c>
      <c r="CH37">
        <f t="shared" si="44"/>
        <v>2.5859999999999999</v>
      </c>
      <c r="CJ37">
        <f t="shared" si="2"/>
        <v>-4.5000000000000533</v>
      </c>
      <c r="CK37">
        <f t="shared" si="47"/>
        <v>-13.575500000000048</v>
      </c>
      <c r="CL37">
        <f t="shared" si="48"/>
        <v>-5.9730000000000913</v>
      </c>
      <c r="CM37">
        <f t="shared" si="49"/>
        <v>-1.0105000000001212</v>
      </c>
      <c r="CN37">
        <f t="shared" si="50"/>
        <v>4.0349999999999753</v>
      </c>
      <c r="CO37">
        <f t="shared" si="51"/>
        <v>-1.7869999999998356</v>
      </c>
      <c r="CP37">
        <f t="shared" si="52"/>
        <v>-0.60250000000009152</v>
      </c>
      <c r="CQ37">
        <f t="shared" si="53"/>
        <v>1.1324999999999221</v>
      </c>
      <c r="CR37">
        <f t="shared" si="54"/>
        <v>3.1859999999999644</v>
      </c>
      <c r="CS37">
        <f t="shared" si="55"/>
        <v>-1.8984999999999275</v>
      </c>
      <c r="CT37">
        <f t="shared" si="56"/>
        <v>3.5314999999999657</v>
      </c>
      <c r="CU37">
        <f t="shared" si="57"/>
        <v>9.8549999999999542</v>
      </c>
      <c r="CV37">
        <f t="shared" si="58"/>
        <v>-0.16110000000000246</v>
      </c>
      <c r="CW37">
        <f t="shared" si="59"/>
        <v>-1.1909999999999958</v>
      </c>
      <c r="CX37">
        <f t="shared" si="60"/>
        <v>-2.335400000000007</v>
      </c>
      <c r="CY37">
        <f t="shared" si="61"/>
        <v>-3.3206000000000078</v>
      </c>
      <c r="CZ37">
        <f t="shared" si="62"/>
        <v>-3.9471000000000078</v>
      </c>
      <c r="DA37">
        <f t="shared" si="63"/>
        <v>1.6284000000000134</v>
      </c>
      <c r="DB37">
        <f t="shared" si="64"/>
        <v>-1.3377700000000101</v>
      </c>
      <c r="DC37">
        <f t="shared" si="65"/>
        <v>-2.1574000000000111</v>
      </c>
      <c r="DD37">
        <f t="shared" si="66"/>
        <v>-0.71379999999999733</v>
      </c>
      <c r="DE37">
        <f t="shared" si="67"/>
        <v>-1.7795999999999892</v>
      </c>
      <c r="DF37">
        <f t="shared" si="68"/>
        <v>-0.81980000000000386</v>
      </c>
      <c r="DG37">
        <f t="shared" si="69"/>
        <v>-0.21839999999999815</v>
      </c>
      <c r="DH37">
        <f t="shared" si="70"/>
        <v>38.93249999999739</v>
      </c>
      <c r="DI37">
        <f t="shared" si="71"/>
        <v>456.00549999999828</v>
      </c>
      <c r="DJ37">
        <f t="shared" si="72"/>
        <v>176.7805000000003</v>
      </c>
      <c r="DK37">
        <f t="shared" si="73"/>
        <v>14.070500000000834</v>
      </c>
      <c r="DL37">
        <f t="shared" si="74"/>
        <v>-97.960000000000036</v>
      </c>
      <c r="DM37">
        <f t="shared" si="75"/>
        <v>19.328499999999948</v>
      </c>
      <c r="DN37">
        <f t="shared" si="76"/>
        <v>-1.6121000000000025</v>
      </c>
      <c r="DO37">
        <f t="shared" si="77"/>
        <v>-3.6904999999999815</v>
      </c>
      <c r="DP37">
        <f t="shared" si="78"/>
        <v>-45.621999999999971</v>
      </c>
      <c r="DQ37">
        <f t="shared" si="79"/>
        <v>34.322999999999809</v>
      </c>
      <c r="DR37">
        <f t="shared" si="80"/>
        <v>-104.60849999999857</v>
      </c>
      <c r="DS37">
        <f t="shared" si="81"/>
        <v>-303.61949999999956</v>
      </c>
      <c r="DT37">
        <f t="shared" si="82"/>
        <v>25.853199999999987</v>
      </c>
      <c r="DU37">
        <f t="shared" si="83"/>
        <v>-33.047500000000198</v>
      </c>
      <c r="DV37">
        <f t="shared" si="84"/>
        <v>-15.276500000000169</v>
      </c>
      <c r="DW37">
        <f t="shared" si="85"/>
        <v>25.51499999999956</v>
      </c>
      <c r="DX37">
        <f t="shared" si="45"/>
        <v>54.540500000000065</v>
      </c>
      <c r="DY37">
        <f t="shared" si="46"/>
        <v>-2.5859999999999999</v>
      </c>
    </row>
    <row r="38" spans="1:129" x14ac:dyDescent="0.25">
      <c r="A38">
        <v>2016</v>
      </c>
      <c r="B38">
        <v>29.7</v>
      </c>
      <c r="C38">
        <v>32</v>
      </c>
      <c r="D38">
        <v>43.2</v>
      </c>
      <c r="E38">
        <v>46.8</v>
      </c>
      <c r="F38">
        <v>58.4</v>
      </c>
      <c r="G38">
        <v>67.400000000000006</v>
      </c>
      <c r="H38">
        <v>74.099999999999994</v>
      </c>
      <c r="I38">
        <v>73.900000000000006</v>
      </c>
      <c r="J38">
        <v>66.2</v>
      </c>
      <c r="K38">
        <v>53.5</v>
      </c>
      <c r="L38">
        <v>43.5</v>
      </c>
      <c r="M38">
        <v>32.6</v>
      </c>
      <c r="N38">
        <v>2.14</v>
      </c>
      <c r="O38">
        <v>4.9400000000000004</v>
      </c>
      <c r="P38">
        <v>2.16</v>
      </c>
      <c r="Q38">
        <v>2.86</v>
      </c>
      <c r="R38">
        <v>3.33</v>
      </c>
      <c r="S38">
        <v>1.78</v>
      </c>
      <c r="T38">
        <v>3.32</v>
      </c>
      <c r="U38">
        <v>3.7</v>
      </c>
      <c r="V38">
        <v>1.92</v>
      </c>
      <c r="W38">
        <v>3.88</v>
      </c>
      <c r="X38">
        <v>3.24</v>
      </c>
      <c r="Y38">
        <v>3.46</v>
      </c>
      <c r="Z38">
        <v>1068</v>
      </c>
      <c r="AA38">
        <v>905</v>
      </c>
      <c r="AB38">
        <v>661</v>
      </c>
      <c r="AC38">
        <v>535</v>
      </c>
      <c r="AD38">
        <v>210</v>
      </c>
      <c r="AE38">
        <v>20</v>
      </c>
      <c r="AF38">
        <v>0</v>
      </c>
      <c r="AG38">
        <v>0</v>
      </c>
      <c r="AH38">
        <v>36</v>
      </c>
      <c r="AI38">
        <v>336</v>
      </c>
      <c r="AJ38">
        <v>622</v>
      </c>
      <c r="AK38">
        <v>974</v>
      </c>
      <c r="AL38">
        <v>12</v>
      </c>
      <c r="AM38">
        <v>104</v>
      </c>
      <c r="AN38">
        <v>297</v>
      </c>
      <c r="AO38">
        <v>293</v>
      </c>
      <c r="AP38">
        <v>90</v>
      </c>
      <c r="AQ38">
        <v>0</v>
      </c>
      <c r="AS38">
        <f t="shared" si="3"/>
        <v>27.890800000000056</v>
      </c>
      <c r="AT38">
        <f t="shared" si="4"/>
        <v>29.39320000000005</v>
      </c>
      <c r="AU38">
        <f t="shared" si="5"/>
        <v>36.993200000000094</v>
      </c>
      <c r="AV38">
        <f t="shared" si="6"/>
        <v>48.041000000000125</v>
      </c>
      <c r="AW38">
        <f t="shared" si="7"/>
        <v>58.713400000000028</v>
      </c>
      <c r="AX38">
        <f t="shared" si="8"/>
        <v>67.131799999999828</v>
      </c>
      <c r="AY38">
        <f t="shared" si="9"/>
        <v>72.860800000000097</v>
      </c>
      <c r="AZ38">
        <f t="shared" si="10"/>
        <v>70.91680000000008</v>
      </c>
      <c r="BA38">
        <f t="shared" si="11"/>
        <v>64.729000000000028</v>
      </c>
      <c r="BB38">
        <f t="shared" si="12"/>
        <v>53.407599999999924</v>
      </c>
      <c r="BC38">
        <f t="shared" si="13"/>
        <v>42.621400000000037</v>
      </c>
      <c r="BD38">
        <f t="shared" si="14"/>
        <v>33.759400000000049</v>
      </c>
      <c r="BE38">
        <f t="shared" si="15"/>
        <v>3.6345000000000027</v>
      </c>
      <c r="BF38">
        <f t="shared" si="16"/>
        <v>3.2040999999999955</v>
      </c>
      <c r="BG38">
        <f t="shared" si="17"/>
        <v>5.407800000000007</v>
      </c>
      <c r="BH38">
        <f t="shared" si="18"/>
        <v>6.0929000000000082</v>
      </c>
      <c r="BI38">
        <f t="shared" si="19"/>
        <v>5.177200000000008</v>
      </c>
      <c r="BJ38">
        <f t="shared" si="20"/>
        <v>4.7392999999999859</v>
      </c>
      <c r="BK38">
        <f t="shared" si="21"/>
        <v>4.1477720000000105</v>
      </c>
      <c r="BL38">
        <f t="shared" si="22"/>
        <v>4.3079000000000116</v>
      </c>
      <c r="BM38">
        <f t="shared" si="23"/>
        <v>4.3547999999999973</v>
      </c>
      <c r="BN38">
        <f t="shared" si="24"/>
        <v>5.1205999999999889</v>
      </c>
      <c r="BO38">
        <f t="shared" si="25"/>
        <v>2.984200000000004</v>
      </c>
      <c r="BP38">
        <f t="shared" si="26"/>
        <v>4.3864999999999981</v>
      </c>
      <c r="BQ38">
        <f t="shared" si="27"/>
        <v>1225.0980000000027</v>
      </c>
      <c r="BR38">
        <f t="shared" si="28"/>
        <v>893.22120000000177</v>
      </c>
      <c r="BS38">
        <f t="shared" si="29"/>
        <v>854.76119999999969</v>
      </c>
      <c r="BT38">
        <f t="shared" si="30"/>
        <v>509.33719999999914</v>
      </c>
      <c r="BU38">
        <f t="shared" si="31"/>
        <v>212.99000000000004</v>
      </c>
      <c r="BV38">
        <f t="shared" si="32"/>
        <v>24.099200000000053</v>
      </c>
      <c r="BW38">
        <f t="shared" si="33"/>
        <v>1.5726000000000024</v>
      </c>
      <c r="BX38">
        <f t="shared" si="34"/>
        <v>4.4339999999999815</v>
      </c>
      <c r="BY38">
        <f t="shared" si="35"/>
        <v>65.17119999999997</v>
      </c>
      <c r="BZ38">
        <f t="shared" si="36"/>
        <v>362.1412000000002</v>
      </c>
      <c r="CA38">
        <f t="shared" si="37"/>
        <v>652.09959999999853</v>
      </c>
      <c r="CB38">
        <f t="shared" si="38"/>
        <v>943.09719999999959</v>
      </c>
      <c r="CC38">
        <f t="shared" si="39"/>
        <v>17.436900000000012</v>
      </c>
      <c r="CD38">
        <f t="shared" si="40"/>
        <v>99.787400000000204</v>
      </c>
      <c r="CE38">
        <f t="shared" si="41"/>
        <v>261.01640000000015</v>
      </c>
      <c r="CF38">
        <f t="shared" si="42"/>
        <v>215.18400000000045</v>
      </c>
      <c r="CG38">
        <f t="shared" si="43"/>
        <v>66.913599999999931</v>
      </c>
      <c r="CH38">
        <f t="shared" si="44"/>
        <v>2.6747999999999998</v>
      </c>
      <c r="CJ38">
        <f t="shared" si="2"/>
        <v>1.8091999999999437</v>
      </c>
      <c r="CK38">
        <f t="shared" si="47"/>
        <v>2.60679999999995</v>
      </c>
      <c r="CL38">
        <f t="shared" si="48"/>
        <v>6.2067999999999088</v>
      </c>
      <c r="CM38">
        <f t="shared" si="49"/>
        <v>-1.2410000000001276</v>
      </c>
      <c r="CN38">
        <f t="shared" si="50"/>
        <v>-0.31340000000002988</v>
      </c>
      <c r="CO38">
        <f t="shared" si="51"/>
        <v>0.26820000000017785</v>
      </c>
      <c r="CP38">
        <f t="shared" si="52"/>
        <v>1.2391999999998973</v>
      </c>
      <c r="CQ38">
        <f t="shared" si="53"/>
        <v>2.9831999999999255</v>
      </c>
      <c r="CR38">
        <f t="shared" si="54"/>
        <v>1.4709999999999752</v>
      </c>
      <c r="CS38">
        <f t="shared" si="55"/>
        <v>9.2400000000075977E-2</v>
      </c>
      <c r="CT38">
        <f t="shared" si="56"/>
        <v>0.87859999999996319</v>
      </c>
      <c r="CU38">
        <f t="shared" si="57"/>
        <v>-1.1594000000000477</v>
      </c>
      <c r="CV38">
        <f t="shared" si="58"/>
        <v>-1.4945000000000026</v>
      </c>
      <c r="CW38">
        <f t="shared" si="59"/>
        <v>1.7359000000000049</v>
      </c>
      <c r="CX38">
        <f t="shared" si="60"/>
        <v>-3.2478000000000069</v>
      </c>
      <c r="CY38">
        <f t="shared" si="61"/>
        <v>-3.2329000000000083</v>
      </c>
      <c r="CZ38">
        <f t="shared" si="62"/>
        <v>-1.8472000000000079</v>
      </c>
      <c r="DA38">
        <f t="shared" si="63"/>
        <v>-2.9592999999999856</v>
      </c>
      <c r="DB38">
        <f t="shared" si="64"/>
        <v>-0.82777200000001061</v>
      </c>
      <c r="DC38">
        <f t="shared" si="65"/>
        <v>-0.60790000000001143</v>
      </c>
      <c r="DD38">
        <f t="shared" si="66"/>
        <v>-2.4347999999999974</v>
      </c>
      <c r="DE38">
        <f t="shared" si="67"/>
        <v>-1.240599999999989</v>
      </c>
      <c r="DF38">
        <f t="shared" si="68"/>
        <v>0.25579999999999625</v>
      </c>
      <c r="DG38">
        <f t="shared" si="69"/>
        <v>-0.9264999999999981</v>
      </c>
      <c r="DH38">
        <f t="shared" si="70"/>
        <v>-157.09800000000268</v>
      </c>
      <c r="DI38">
        <f t="shared" si="71"/>
        <v>11.778799999998228</v>
      </c>
      <c r="DJ38">
        <f t="shared" si="72"/>
        <v>-193.76119999999969</v>
      </c>
      <c r="DK38">
        <f t="shared" si="73"/>
        <v>25.662800000000857</v>
      </c>
      <c r="DL38">
        <f t="shared" si="74"/>
        <v>-2.9900000000000375</v>
      </c>
      <c r="DM38">
        <f t="shared" si="75"/>
        <v>-4.099200000000053</v>
      </c>
      <c r="DN38">
        <f t="shared" si="76"/>
        <v>-1.5726000000000024</v>
      </c>
      <c r="DO38">
        <f t="shared" si="77"/>
        <v>-4.4339999999999815</v>
      </c>
      <c r="DP38">
        <f t="shared" si="78"/>
        <v>-29.17119999999997</v>
      </c>
      <c r="DQ38">
        <f t="shared" si="79"/>
        <v>-26.141200000000197</v>
      </c>
      <c r="DR38">
        <f t="shared" si="80"/>
        <v>-30.099599999998532</v>
      </c>
      <c r="DS38">
        <f t="shared" si="81"/>
        <v>30.902800000000411</v>
      </c>
      <c r="DT38">
        <f t="shared" si="82"/>
        <v>-5.4369000000000121</v>
      </c>
      <c r="DU38">
        <f t="shared" si="83"/>
        <v>4.2125999999997958</v>
      </c>
      <c r="DV38">
        <f t="shared" si="84"/>
        <v>35.983599999999853</v>
      </c>
      <c r="DW38">
        <f t="shared" si="85"/>
        <v>77.815999999999548</v>
      </c>
      <c r="DX38">
        <f t="shared" si="45"/>
        <v>23.086400000000069</v>
      </c>
      <c r="DY38">
        <f t="shared" si="46"/>
        <v>-2.6747999999999998</v>
      </c>
    </row>
    <row r="39" spans="1:129" x14ac:dyDescent="0.25">
      <c r="A39">
        <v>2017</v>
      </c>
      <c r="B39">
        <v>32.799999999999997</v>
      </c>
      <c r="C39">
        <v>34.6</v>
      </c>
      <c r="D39">
        <v>33.4</v>
      </c>
      <c r="E39">
        <v>51.8</v>
      </c>
      <c r="F39">
        <v>56.6</v>
      </c>
      <c r="G39">
        <v>67.099999999999994</v>
      </c>
      <c r="H39">
        <v>71.599999999999994</v>
      </c>
      <c r="I39">
        <v>69.099999999999994</v>
      </c>
      <c r="J39">
        <v>66.2</v>
      </c>
      <c r="K39">
        <v>58.6</v>
      </c>
      <c r="L39">
        <v>41</v>
      </c>
      <c r="M39">
        <v>28.5</v>
      </c>
      <c r="N39">
        <v>3.56</v>
      </c>
      <c r="O39">
        <v>2.14</v>
      </c>
      <c r="P39">
        <v>3.34</v>
      </c>
      <c r="Q39">
        <v>4.71</v>
      </c>
      <c r="R39">
        <v>5.36</v>
      </c>
      <c r="S39">
        <v>3.55</v>
      </c>
      <c r="T39">
        <v>4.37</v>
      </c>
      <c r="U39">
        <v>2.62</v>
      </c>
      <c r="V39">
        <v>2.2999999999999998</v>
      </c>
      <c r="W39">
        <v>8.26</v>
      </c>
      <c r="X39">
        <v>1.62</v>
      </c>
      <c r="Y39">
        <v>2.29</v>
      </c>
      <c r="Z39">
        <v>974</v>
      </c>
      <c r="AA39">
        <v>833</v>
      </c>
      <c r="AB39">
        <v>958</v>
      </c>
      <c r="AC39">
        <v>382</v>
      </c>
      <c r="AD39">
        <v>254</v>
      </c>
      <c r="AE39">
        <v>23</v>
      </c>
      <c r="AF39">
        <v>0</v>
      </c>
      <c r="AG39">
        <v>9</v>
      </c>
      <c r="AH39">
        <v>37</v>
      </c>
      <c r="AI39">
        <v>195</v>
      </c>
      <c r="AJ39">
        <v>699</v>
      </c>
      <c r="AK39">
        <v>1101</v>
      </c>
      <c r="AL39">
        <v>7</v>
      </c>
      <c r="AM39">
        <v>99</v>
      </c>
      <c r="AN39">
        <v>219</v>
      </c>
      <c r="AO39">
        <v>161</v>
      </c>
      <c r="AP39">
        <v>88</v>
      </c>
      <c r="AQ39">
        <v>18</v>
      </c>
      <c r="AS39">
        <f t="shared" si="3"/>
        <v>27.981600000000057</v>
      </c>
      <c r="AT39">
        <f t="shared" si="4"/>
        <v>29.410900000000051</v>
      </c>
      <c r="AU39">
        <f t="shared" si="5"/>
        <v>37.013400000000097</v>
      </c>
      <c r="AV39">
        <f t="shared" si="6"/>
        <v>48.071500000000128</v>
      </c>
      <c r="AW39">
        <f t="shared" si="7"/>
        <v>58.761800000000029</v>
      </c>
      <c r="AX39">
        <f t="shared" si="8"/>
        <v>67.176599999999823</v>
      </c>
      <c r="AY39">
        <f t="shared" si="9"/>
        <v>72.9191000000001</v>
      </c>
      <c r="AZ39">
        <f t="shared" si="10"/>
        <v>70.966100000000083</v>
      </c>
      <c r="BA39">
        <f t="shared" si="11"/>
        <v>64.844000000000023</v>
      </c>
      <c r="BB39">
        <f t="shared" si="12"/>
        <v>53.516699999999922</v>
      </c>
      <c r="BC39">
        <f t="shared" si="13"/>
        <v>42.674300000000038</v>
      </c>
      <c r="BD39">
        <f t="shared" si="14"/>
        <v>33.873800000000053</v>
      </c>
      <c r="BE39">
        <f t="shared" si="15"/>
        <v>3.6379000000000028</v>
      </c>
      <c r="BF39">
        <f t="shared" si="16"/>
        <v>3.2071999999999954</v>
      </c>
      <c r="BG39">
        <f t="shared" si="17"/>
        <v>5.4302000000000072</v>
      </c>
      <c r="BH39">
        <f t="shared" si="18"/>
        <v>6.1252000000000084</v>
      </c>
      <c r="BI39">
        <f t="shared" si="19"/>
        <v>5.1973000000000082</v>
      </c>
      <c r="BJ39">
        <f t="shared" si="20"/>
        <v>4.7569999999999855</v>
      </c>
      <c r="BK39">
        <f t="shared" si="21"/>
        <v>4.1477740000000107</v>
      </c>
      <c r="BL39">
        <f t="shared" si="22"/>
        <v>4.318400000000012</v>
      </c>
      <c r="BM39">
        <f t="shared" si="23"/>
        <v>4.3757999999999972</v>
      </c>
      <c r="BN39">
        <f t="shared" si="24"/>
        <v>5.1515999999999886</v>
      </c>
      <c r="BO39">
        <f t="shared" si="25"/>
        <v>2.9186000000000041</v>
      </c>
      <c r="BP39">
        <f t="shared" si="26"/>
        <v>4.4145999999999983</v>
      </c>
      <c r="BQ39">
        <f t="shared" si="27"/>
        <v>1225.1285000000028</v>
      </c>
      <c r="BR39">
        <f t="shared" si="28"/>
        <v>890.44790000000182</v>
      </c>
      <c r="BS39">
        <f t="shared" si="29"/>
        <v>854.30289999999968</v>
      </c>
      <c r="BT39">
        <f t="shared" si="30"/>
        <v>508.74489999999912</v>
      </c>
      <c r="BU39">
        <f t="shared" si="31"/>
        <v>212.02000000000004</v>
      </c>
      <c r="BV39">
        <f t="shared" si="32"/>
        <v>23.526900000000055</v>
      </c>
      <c r="BW39">
        <f t="shared" si="33"/>
        <v>1.5331000000000023</v>
      </c>
      <c r="BX39">
        <f t="shared" si="34"/>
        <v>4.1774999999999816</v>
      </c>
      <c r="BY39">
        <f t="shared" si="35"/>
        <v>63.72039999999997</v>
      </c>
      <c r="BZ39">
        <f t="shared" si="36"/>
        <v>360.6054000000002</v>
      </c>
      <c r="CA39">
        <f t="shared" si="37"/>
        <v>650.59069999999849</v>
      </c>
      <c r="CB39">
        <f t="shared" si="38"/>
        <v>939.57489999999962</v>
      </c>
      <c r="CC39">
        <f t="shared" si="39"/>
        <v>17.727000000000011</v>
      </c>
      <c r="CD39">
        <f t="shared" si="40"/>
        <v>100.52730000000021</v>
      </c>
      <c r="CE39">
        <f t="shared" si="41"/>
        <v>262.75630000000012</v>
      </c>
      <c r="CF39">
        <f t="shared" si="42"/>
        <v>216.88300000000046</v>
      </c>
      <c r="CG39">
        <f t="shared" si="43"/>
        <v>68.367699999999928</v>
      </c>
      <c r="CH39">
        <f t="shared" si="44"/>
        <v>2.7635999999999998</v>
      </c>
      <c r="CJ39">
        <f t="shared" si="2"/>
        <v>4.8183999999999401</v>
      </c>
      <c r="CK39">
        <f t="shared" si="47"/>
        <v>5.1890999999999501</v>
      </c>
      <c r="CL39">
        <f t="shared" si="48"/>
        <v>-3.6134000000000981</v>
      </c>
      <c r="CM39">
        <f t="shared" si="49"/>
        <v>3.7284999999998689</v>
      </c>
      <c r="CN39">
        <f t="shared" si="50"/>
        <v>-2.1618000000000279</v>
      </c>
      <c r="CO39">
        <f t="shared" si="51"/>
        <v>-7.6599999999828583E-2</v>
      </c>
      <c r="CP39">
        <f t="shared" si="52"/>
        <v>-1.3191000000001054</v>
      </c>
      <c r="CQ39">
        <f t="shared" si="53"/>
        <v>-1.8661000000000882</v>
      </c>
      <c r="CR39">
        <f t="shared" si="54"/>
        <v>1.3559999999999803</v>
      </c>
      <c r="CS39">
        <f t="shared" si="55"/>
        <v>5.0833000000000794</v>
      </c>
      <c r="CT39">
        <f t="shared" si="56"/>
        <v>-1.6743000000000379</v>
      </c>
      <c r="CU39">
        <f t="shared" si="57"/>
        <v>-5.3738000000000525</v>
      </c>
      <c r="CV39">
        <f t="shared" si="58"/>
        <v>-7.7900000000002745E-2</v>
      </c>
      <c r="CW39">
        <f t="shared" si="59"/>
        <v>-1.0671999999999953</v>
      </c>
      <c r="CX39">
        <f t="shared" si="60"/>
        <v>-2.0902000000000074</v>
      </c>
      <c r="CY39">
        <f t="shared" si="61"/>
        <v>-1.4152000000000085</v>
      </c>
      <c r="CZ39">
        <f t="shared" si="62"/>
        <v>0.16269999999999207</v>
      </c>
      <c r="DA39">
        <f t="shared" si="63"/>
        <v>-1.2069999999999856</v>
      </c>
      <c r="DB39">
        <f t="shared" si="64"/>
        <v>0.22222599999998938</v>
      </c>
      <c r="DC39">
        <f t="shared" si="65"/>
        <v>-1.6984000000000119</v>
      </c>
      <c r="DD39">
        <f t="shared" si="66"/>
        <v>-2.0757999999999974</v>
      </c>
      <c r="DE39">
        <f t="shared" si="67"/>
        <v>3.1084000000000112</v>
      </c>
      <c r="DF39">
        <f t="shared" si="68"/>
        <v>-1.298600000000004</v>
      </c>
      <c r="DG39">
        <f t="shared" si="69"/>
        <v>-2.1245999999999983</v>
      </c>
      <c r="DH39">
        <f t="shared" si="70"/>
        <v>-251.12850000000276</v>
      </c>
      <c r="DI39">
        <f t="shared" si="71"/>
        <v>-57.447900000001823</v>
      </c>
      <c r="DJ39">
        <f t="shared" si="72"/>
        <v>103.69710000000032</v>
      </c>
      <c r="DK39">
        <f t="shared" si="73"/>
        <v>-126.74489999999912</v>
      </c>
      <c r="DL39">
        <f t="shared" si="74"/>
        <v>41.979999999999961</v>
      </c>
      <c r="DM39">
        <f t="shared" si="75"/>
        <v>-0.52690000000005455</v>
      </c>
      <c r="DN39">
        <f t="shared" si="76"/>
        <v>-1.5331000000000023</v>
      </c>
      <c r="DO39">
        <f t="shared" si="77"/>
        <v>4.8225000000000184</v>
      </c>
      <c r="DP39">
        <f t="shared" si="78"/>
        <v>-26.72039999999997</v>
      </c>
      <c r="DQ39">
        <f t="shared" si="79"/>
        <v>-165.6054000000002</v>
      </c>
      <c r="DR39">
        <f t="shared" si="80"/>
        <v>48.409300000001508</v>
      </c>
      <c r="DS39">
        <f t="shared" si="81"/>
        <v>161.42510000000038</v>
      </c>
      <c r="DT39">
        <f t="shared" si="82"/>
        <v>-10.727000000000011</v>
      </c>
      <c r="DU39">
        <f t="shared" si="83"/>
        <v>-1.5273000000002099</v>
      </c>
      <c r="DV39">
        <f t="shared" si="84"/>
        <v>-43.756300000000124</v>
      </c>
      <c r="DW39">
        <f t="shared" si="85"/>
        <v>-55.883000000000465</v>
      </c>
      <c r="DX39">
        <f t="shared" si="45"/>
        <v>19.632300000000072</v>
      </c>
      <c r="DY39">
        <f t="shared" si="46"/>
        <v>15.2364</v>
      </c>
    </row>
    <row r="40" spans="1:129" x14ac:dyDescent="0.25">
      <c r="A40">
        <v>2018</v>
      </c>
      <c r="B40">
        <v>25.3</v>
      </c>
      <c r="C40">
        <v>35.6</v>
      </c>
      <c r="D40">
        <v>36.1</v>
      </c>
      <c r="E40">
        <v>43.2</v>
      </c>
      <c r="F40">
        <v>61.9</v>
      </c>
      <c r="G40">
        <v>66.2</v>
      </c>
      <c r="H40">
        <v>74.099999999999994</v>
      </c>
      <c r="I40">
        <v>71</v>
      </c>
      <c r="J40">
        <v>64.959000000000017</v>
      </c>
      <c r="K40">
        <v>53.62579999999992</v>
      </c>
      <c r="L40">
        <v>42.727200000000039</v>
      </c>
      <c r="M40">
        <v>33.988200000000056</v>
      </c>
      <c r="N40">
        <v>3.86</v>
      </c>
      <c r="O40">
        <v>5.28</v>
      </c>
      <c r="P40">
        <v>3.43</v>
      </c>
      <c r="Q40">
        <v>5.31</v>
      </c>
      <c r="R40">
        <v>2.7</v>
      </c>
      <c r="S40">
        <v>3.78</v>
      </c>
      <c r="T40">
        <v>5.67</v>
      </c>
      <c r="U40">
        <v>5.49</v>
      </c>
      <c r="V40">
        <v>4.3967999999999972</v>
      </c>
      <c r="W40">
        <v>5.1825999999999883</v>
      </c>
      <c r="X40">
        <v>2.8530000000000042</v>
      </c>
      <c r="Y40">
        <v>4.4426999999999985</v>
      </c>
      <c r="Z40">
        <v>1198</v>
      </c>
      <c r="AA40">
        <v>802</v>
      </c>
      <c r="AB40">
        <v>874</v>
      </c>
      <c r="AC40">
        <v>637</v>
      </c>
      <c r="AD40">
        <v>128</v>
      </c>
      <c r="AE40">
        <v>34</v>
      </c>
      <c r="AF40">
        <v>0</v>
      </c>
      <c r="AG40">
        <v>0</v>
      </c>
      <c r="AH40">
        <v>62.269599999999969</v>
      </c>
      <c r="AI40">
        <v>359.06960000000021</v>
      </c>
      <c r="AJ40">
        <v>649.08179999999845</v>
      </c>
      <c r="AK40">
        <v>936.05259999999964</v>
      </c>
      <c r="AL40">
        <v>36</v>
      </c>
      <c r="AM40">
        <v>79</v>
      </c>
      <c r="AN40">
        <v>292</v>
      </c>
      <c r="AO40">
        <v>300</v>
      </c>
      <c r="AP40">
        <v>69.821799999999925</v>
      </c>
      <c r="AQ40">
        <v>2.8523999999999998</v>
      </c>
      <c r="AS40">
        <f t="shared" si="3"/>
        <v>28.072400000000059</v>
      </c>
      <c r="AT40">
        <f t="shared" si="4"/>
        <v>29.428600000000053</v>
      </c>
      <c r="AU40">
        <f t="shared" si="5"/>
        <v>37.033600000000099</v>
      </c>
      <c r="AV40">
        <f t="shared" si="6"/>
        <v>48.102000000000132</v>
      </c>
      <c r="AW40">
        <f t="shared" si="7"/>
        <v>58.81020000000003</v>
      </c>
      <c r="AX40">
        <f t="shared" si="8"/>
        <v>67.221399999999818</v>
      </c>
      <c r="AY40">
        <f t="shared" si="9"/>
        <v>72.977400000000102</v>
      </c>
      <c r="AZ40">
        <f t="shared" si="10"/>
        <v>71.015400000000085</v>
      </c>
      <c r="BA40">
        <f t="shared" si="11"/>
        <v>64.959000000000017</v>
      </c>
      <c r="BB40">
        <f t="shared" si="12"/>
        <v>53.62579999999992</v>
      </c>
      <c r="BC40">
        <f t="shared" si="13"/>
        <v>42.727200000000039</v>
      </c>
      <c r="BD40">
        <f t="shared" si="14"/>
        <v>33.988200000000056</v>
      </c>
      <c r="BE40">
        <f t="shared" si="15"/>
        <v>3.6413000000000029</v>
      </c>
      <c r="BF40">
        <f t="shared" si="16"/>
        <v>3.2102999999999953</v>
      </c>
      <c r="BG40">
        <f t="shared" si="17"/>
        <v>5.4526000000000074</v>
      </c>
      <c r="BH40">
        <f t="shared" si="18"/>
        <v>6.1575000000000086</v>
      </c>
      <c r="BI40">
        <f t="shared" si="19"/>
        <v>5.2174000000000085</v>
      </c>
      <c r="BJ40">
        <f t="shared" si="20"/>
        <v>4.7746999999999851</v>
      </c>
      <c r="BK40">
        <f t="shared" si="21"/>
        <v>4.147776000000011</v>
      </c>
      <c r="BL40">
        <f t="shared" si="22"/>
        <v>4.3289000000000124</v>
      </c>
      <c r="BM40">
        <f t="shared" si="23"/>
        <v>4.3967999999999972</v>
      </c>
      <c r="BN40">
        <f t="shared" si="24"/>
        <v>5.1825999999999883</v>
      </c>
      <c r="BO40">
        <f t="shared" si="25"/>
        <v>2.8530000000000042</v>
      </c>
      <c r="BP40">
        <f t="shared" si="26"/>
        <v>4.4426999999999985</v>
      </c>
      <c r="BQ40">
        <f t="shared" si="27"/>
        <v>1225.1590000000028</v>
      </c>
      <c r="BR40">
        <f t="shared" si="28"/>
        <v>887.67460000000187</v>
      </c>
      <c r="BS40">
        <f t="shared" si="29"/>
        <v>853.84459999999967</v>
      </c>
      <c r="BT40">
        <f t="shared" si="30"/>
        <v>508.1525999999991</v>
      </c>
      <c r="BU40">
        <f t="shared" si="31"/>
        <v>211.05000000000004</v>
      </c>
      <c r="BV40">
        <f t="shared" si="32"/>
        <v>22.954600000000056</v>
      </c>
      <c r="BW40">
        <f t="shared" si="33"/>
        <v>1.4936000000000023</v>
      </c>
      <c r="BX40">
        <f t="shared" si="34"/>
        <v>3.9209999999999816</v>
      </c>
      <c r="BY40">
        <f t="shared" si="35"/>
        <v>62.269599999999969</v>
      </c>
      <c r="BZ40">
        <f t="shared" si="36"/>
        <v>359.06960000000021</v>
      </c>
      <c r="CA40">
        <f t="shared" si="37"/>
        <v>649.08179999999845</v>
      </c>
      <c r="CB40">
        <f t="shared" si="38"/>
        <v>936.05259999999964</v>
      </c>
      <c r="CC40">
        <f t="shared" si="39"/>
        <v>18.01710000000001</v>
      </c>
      <c r="CD40">
        <f t="shared" si="40"/>
        <v>101.26720000000022</v>
      </c>
      <c r="CE40">
        <f t="shared" si="41"/>
        <v>264.4962000000001</v>
      </c>
      <c r="CF40">
        <f t="shared" si="42"/>
        <v>218.58200000000048</v>
      </c>
      <c r="CG40">
        <f t="shared" si="43"/>
        <v>69.821799999999925</v>
      </c>
      <c r="CH40">
        <f t="shared" si="44"/>
        <v>2.8523999999999998</v>
      </c>
      <c r="CJ40">
        <f t="shared" si="2"/>
        <v>-2.7724000000000579</v>
      </c>
      <c r="CK40">
        <f t="shared" si="47"/>
        <v>6.1713999999999487</v>
      </c>
      <c r="CL40">
        <f t="shared" si="48"/>
        <v>-0.93360000000009791</v>
      </c>
      <c r="CM40">
        <f t="shared" si="49"/>
        <v>-4.9020000000001289</v>
      </c>
      <c r="CN40">
        <f t="shared" si="50"/>
        <v>3.0897999999999683</v>
      </c>
      <c r="CO40">
        <f t="shared" si="51"/>
        <v>-1.0213999999998151</v>
      </c>
      <c r="CP40">
        <f t="shared" si="52"/>
        <v>1.1225999999998919</v>
      </c>
      <c r="CQ40">
        <f t="shared" si="53"/>
        <v>-1.5400000000084901E-2</v>
      </c>
      <c r="CR40">
        <f t="shared" si="54"/>
        <v>0</v>
      </c>
      <c r="CS40">
        <f t="shared" si="55"/>
        <v>0</v>
      </c>
      <c r="CT40">
        <f t="shared" si="56"/>
        <v>0</v>
      </c>
      <c r="CU40">
        <f t="shared" si="57"/>
        <v>0</v>
      </c>
      <c r="CV40">
        <f t="shared" si="58"/>
        <v>0.21869999999999701</v>
      </c>
      <c r="CW40">
        <f t="shared" si="59"/>
        <v>2.069700000000005</v>
      </c>
      <c r="CX40">
        <f t="shared" si="60"/>
        <v>-2.0226000000000073</v>
      </c>
      <c r="CY40">
        <f t="shared" si="61"/>
        <v>-0.84750000000000902</v>
      </c>
      <c r="CZ40">
        <f t="shared" si="62"/>
        <v>-2.5174000000000083</v>
      </c>
      <c r="DA40">
        <f t="shared" si="63"/>
        <v>-0.99469999999998526</v>
      </c>
      <c r="DB40">
        <f t="shared" si="64"/>
        <v>1.5222239999999889</v>
      </c>
      <c r="DC40">
        <f t="shared" si="65"/>
        <v>1.1610999999999878</v>
      </c>
      <c r="DD40">
        <f t="shared" si="66"/>
        <v>0</v>
      </c>
      <c r="DE40">
        <f t="shared" si="67"/>
        <v>0</v>
      </c>
      <c r="DF40">
        <f t="shared" si="68"/>
        <v>0</v>
      </c>
      <c r="DG40">
        <f t="shared" si="69"/>
        <v>0</v>
      </c>
      <c r="DH40">
        <f t="shared" si="70"/>
        <v>-27.159000000002834</v>
      </c>
      <c r="DI40">
        <f t="shared" si="71"/>
        <v>-85.674600000001874</v>
      </c>
      <c r="DJ40">
        <f t="shared" si="72"/>
        <v>20.155400000000327</v>
      </c>
      <c r="DK40">
        <f t="shared" si="73"/>
        <v>128.8474000000009</v>
      </c>
      <c r="DL40">
        <f t="shared" si="74"/>
        <v>-83.05000000000004</v>
      </c>
      <c r="DM40">
        <f t="shared" si="75"/>
        <v>11.045399999999944</v>
      </c>
      <c r="DN40">
        <f t="shared" si="76"/>
        <v>-1.4936000000000023</v>
      </c>
      <c r="DO40">
        <f t="shared" si="77"/>
        <v>-3.9209999999999816</v>
      </c>
      <c r="DP40">
        <f t="shared" si="78"/>
        <v>0</v>
      </c>
      <c r="DQ40">
        <f t="shared" si="79"/>
        <v>0</v>
      </c>
      <c r="DR40">
        <f t="shared" si="80"/>
        <v>0</v>
      </c>
      <c r="DS40">
        <f t="shared" si="81"/>
        <v>0</v>
      </c>
      <c r="DT40">
        <f t="shared" si="82"/>
        <v>17.98289999999999</v>
      </c>
      <c r="DU40">
        <f t="shared" si="83"/>
        <v>-22.267200000000216</v>
      </c>
      <c r="DV40">
        <f t="shared" si="84"/>
        <v>27.503799999999899</v>
      </c>
      <c r="DW40">
        <f t="shared" si="85"/>
        <v>81.417999999999523</v>
      </c>
      <c r="DX40">
        <f t="shared" si="45"/>
        <v>0</v>
      </c>
      <c r="DY40">
        <f t="shared" si="4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27"/>
  <sheetViews>
    <sheetView tabSelected="1" workbookViewId="0">
      <selection activeCell="AT2" sqref="AT2:AU27"/>
    </sheetView>
  </sheetViews>
  <sheetFormatPr defaultRowHeight="15" x14ac:dyDescent="0.25"/>
  <sheetData>
    <row r="1" spans="1:51" x14ac:dyDescent="0.25">
      <c r="A1" t="s">
        <v>51</v>
      </c>
      <c r="B1" t="s">
        <v>0</v>
      </c>
      <c r="C1" t="s">
        <v>1</v>
      </c>
      <c r="D1" t="s">
        <v>2</v>
      </c>
      <c r="E1" t="s">
        <v>20</v>
      </c>
      <c r="F1" t="s">
        <v>19</v>
      </c>
      <c r="G1" t="s">
        <v>6</v>
      </c>
      <c r="H1" t="s">
        <v>7</v>
      </c>
      <c r="I1" t="s">
        <v>8</v>
      </c>
      <c r="J1" t="s">
        <v>21</v>
      </c>
      <c r="K1" t="s">
        <v>22</v>
      </c>
      <c r="L1" t="s">
        <v>23</v>
      </c>
      <c r="M1" t="s">
        <v>11</v>
      </c>
      <c r="N1" t="s">
        <v>3</v>
      </c>
      <c r="O1" t="s">
        <v>4</v>
      </c>
      <c r="P1" t="s">
        <v>5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43</v>
      </c>
      <c r="AI1" t="s">
        <v>42</v>
      </c>
      <c r="AJ1" t="s">
        <v>41</v>
      </c>
      <c r="AK1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t="s">
        <v>9</v>
      </c>
      <c r="AS1" t="s">
        <v>10</v>
      </c>
      <c r="AT1" t="s">
        <v>12</v>
      </c>
      <c r="AU1" t="s">
        <v>13</v>
      </c>
      <c r="AV1" t="s">
        <v>15</v>
      </c>
      <c r="AW1" t="s">
        <v>16</v>
      </c>
      <c r="AX1" t="s">
        <v>17</v>
      </c>
      <c r="AY1" t="s">
        <v>18</v>
      </c>
    </row>
    <row r="2" spans="1:51" x14ac:dyDescent="0.25">
      <c r="A2">
        <v>1990</v>
      </c>
      <c r="B2">
        <v>8.7699999999999818</v>
      </c>
      <c r="C2">
        <v>3.6669999999999874</v>
      </c>
      <c r="D2">
        <v>2.1319999999999766</v>
      </c>
      <c r="E2">
        <v>-4.8000000000030241E-2</v>
      </c>
      <c r="F2">
        <v>-2.855000000000004</v>
      </c>
      <c r="G2">
        <v>0.53300000000004388</v>
      </c>
      <c r="H2">
        <v>0.15499999999997272</v>
      </c>
      <c r="I2">
        <v>0.86499999999998067</v>
      </c>
      <c r="J2">
        <v>-0.43900000000002137</v>
      </c>
      <c r="K2">
        <v>5.3290000000000219</v>
      </c>
      <c r="L2">
        <v>2.2539999999999907</v>
      </c>
      <c r="M2">
        <v>5.5150000000000006</v>
      </c>
      <c r="N2">
        <v>1.3538999999999994</v>
      </c>
      <c r="O2">
        <v>0.16650000000000142</v>
      </c>
      <c r="P2">
        <v>-2.0954000000000019</v>
      </c>
      <c r="Q2">
        <v>-0.37310000000000265</v>
      </c>
      <c r="R2">
        <v>2.8553999999999977</v>
      </c>
      <c r="S2">
        <v>-1.9690999999999961</v>
      </c>
      <c r="T2">
        <v>-0.76772000000000329</v>
      </c>
      <c r="U2">
        <v>4.0550999999999986</v>
      </c>
      <c r="V2">
        <v>-1.7887999999999993</v>
      </c>
      <c r="W2">
        <v>3.5454000000000034</v>
      </c>
      <c r="X2">
        <v>-1.6698000000000008</v>
      </c>
      <c r="Y2">
        <v>2.0341000000000027</v>
      </c>
      <c r="Z2">
        <v>-292.30500000000075</v>
      </c>
      <c r="AA2">
        <v>-77.327000000000453</v>
      </c>
      <c r="AB2">
        <v>-65.676999999999907</v>
      </c>
      <c r="AC2">
        <v>-0.73699999999973898</v>
      </c>
      <c r="AD2">
        <v>76.789999999999992</v>
      </c>
      <c r="AE2">
        <v>-9.9790000000000134</v>
      </c>
      <c r="AF2">
        <v>-2.5996000000000015</v>
      </c>
      <c r="AG2">
        <v>-6.1029999999999909</v>
      </c>
      <c r="AH2">
        <v>13.108000000000004</v>
      </c>
      <c r="AI2">
        <v>-132.07200000000006</v>
      </c>
      <c r="AJ2">
        <v>-63.330999999999563</v>
      </c>
      <c r="AK2">
        <v>-168.67699999999923</v>
      </c>
      <c r="AL2">
        <v>-9.894300000000003</v>
      </c>
      <c r="AM2">
        <v>4.449999999999946</v>
      </c>
      <c r="AN2">
        <v>1.2209999999999468</v>
      </c>
      <c r="AO2">
        <v>23.989999999999867</v>
      </c>
      <c r="AP2">
        <v>-6.1070000000000029</v>
      </c>
      <c r="AQ2">
        <v>6.6340000000000003</v>
      </c>
      <c r="AR2">
        <v>47.079000000000001</v>
      </c>
      <c r="AS2">
        <v>43.941000000000003</v>
      </c>
      <c r="AT2">
        <v>12.005000000000001</v>
      </c>
      <c r="AU2">
        <v>11.866</v>
      </c>
      <c r="AV2">
        <v>0.3322</v>
      </c>
      <c r="AW2">
        <v>4.2035</v>
      </c>
      <c r="AX2">
        <v>3.7341000000000002</v>
      </c>
      <c r="AY2">
        <v>8.8461999999999996</v>
      </c>
    </row>
    <row r="3" spans="1:51" x14ac:dyDescent="0.25">
      <c r="A3">
        <v>1991</v>
      </c>
      <c r="B3">
        <v>1.0791999999999824</v>
      </c>
      <c r="C3">
        <v>3.9492999999999832</v>
      </c>
      <c r="D3">
        <v>2.9117999999999711</v>
      </c>
      <c r="E3">
        <v>3.3214999999999648</v>
      </c>
      <c r="F3">
        <v>5.0965999999999951</v>
      </c>
      <c r="G3">
        <v>1.9882000000000488</v>
      </c>
      <c r="H3">
        <v>0.19669999999996435</v>
      </c>
      <c r="I3">
        <v>1.0156999999999812</v>
      </c>
      <c r="J3">
        <v>-1.0540000000000234</v>
      </c>
      <c r="K3">
        <v>2.3199000000000254</v>
      </c>
      <c r="L3">
        <v>0.80109999999999104</v>
      </c>
      <c r="M3">
        <v>2.200600000000005</v>
      </c>
      <c r="N3">
        <v>-0.6995000000000009</v>
      </c>
      <c r="O3">
        <v>-1.1265999999999985</v>
      </c>
      <c r="P3">
        <v>0.22219999999999818</v>
      </c>
      <c r="Q3">
        <v>-2.2354000000000029</v>
      </c>
      <c r="R3">
        <v>0.2052999999999976</v>
      </c>
      <c r="S3">
        <v>-2.5867999999999958</v>
      </c>
      <c r="T3">
        <v>-1.0077220000000033</v>
      </c>
      <c r="U3">
        <v>4.2945999999999982</v>
      </c>
      <c r="V3">
        <v>2.2102000000000008</v>
      </c>
      <c r="W3">
        <v>-1.3055999999999965</v>
      </c>
      <c r="X3">
        <v>-0.43420000000000059</v>
      </c>
      <c r="Y3">
        <v>-0.22399999999999753</v>
      </c>
      <c r="Z3">
        <v>-66.33550000000082</v>
      </c>
      <c r="AA3">
        <v>-85.553700000000504</v>
      </c>
      <c r="AB3">
        <v>-89.218699999999899</v>
      </c>
      <c r="AC3">
        <v>-101.14469999999972</v>
      </c>
      <c r="AD3">
        <v>-124.24000000000001</v>
      </c>
      <c r="AE3">
        <v>-22.406700000000015</v>
      </c>
      <c r="AF3">
        <v>-1.5601000000000016</v>
      </c>
      <c r="AG3">
        <v>-5.84649999999999</v>
      </c>
      <c r="AH3">
        <v>25.558800000000005</v>
      </c>
      <c r="AI3">
        <v>-46.536200000000065</v>
      </c>
      <c r="AJ3">
        <v>-22.822099999999523</v>
      </c>
      <c r="AK3">
        <v>-69.154699999999139</v>
      </c>
      <c r="AL3">
        <v>34.815599999999996</v>
      </c>
      <c r="AM3">
        <v>37.71009999999994</v>
      </c>
      <c r="AN3">
        <v>8.481099999999941</v>
      </c>
      <c r="AO3">
        <v>28.290999999999855</v>
      </c>
      <c r="AP3">
        <v>-11.561100000000003</v>
      </c>
      <c r="AQ3">
        <v>-0.45479999999999993</v>
      </c>
      <c r="AR3">
        <v>47.0456</v>
      </c>
      <c r="AS3">
        <v>43.846000000000004</v>
      </c>
      <c r="AT3">
        <v>11.956300000000001</v>
      </c>
      <c r="AU3">
        <v>11.755599999999999</v>
      </c>
      <c r="AV3">
        <v>0.32969999999999999</v>
      </c>
      <c r="AW3">
        <v>4.1810999999999998</v>
      </c>
      <c r="AX3">
        <v>3.7599</v>
      </c>
      <c r="AY3">
        <v>8.8042999999999996</v>
      </c>
    </row>
    <row r="4" spans="1:51" x14ac:dyDescent="0.25">
      <c r="A4">
        <v>1992</v>
      </c>
      <c r="B4">
        <v>2.5883999999999823</v>
      </c>
      <c r="C4">
        <v>0.83159999999998391</v>
      </c>
      <c r="D4">
        <v>-2.9084000000000287</v>
      </c>
      <c r="E4">
        <v>-3.009000000000043</v>
      </c>
      <c r="F4">
        <v>-0.95180000000000575</v>
      </c>
      <c r="G4">
        <v>-1.7565999999999491</v>
      </c>
      <c r="H4">
        <v>-3.061600000000027</v>
      </c>
      <c r="I4">
        <v>-2.6336000000000297</v>
      </c>
      <c r="J4">
        <v>-0.76900000000001967</v>
      </c>
      <c r="K4">
        <v>-2.6891999999999712</v>
      </c>
      <c r="L4">
        <v>-1.6518000000000086</v>
      </c>
      <c r="M4">
        <v>-0.21379999999999555</v>
      </c>
      <c r="N4">
        <v>-0.86290000000000111</v>
      </c>
      <c r="O4">
        <v>-1.0196999999999985</v>
      </c>
      <c r="P4">
        <v>-0.55020000000000202</v>
      </c>
      <c r="Q4">
        <v>-2.5577000000000032</v>
      </c>
      <c r="R4">
        <v>-2.9448000000000025</v>
      </c>
      <c r="S4">
        <v>2.5655000000000046</v>
      </c>
      <c r="T4">
        <v>0.46227599999999658</v>
      </c>
      <c r="U4">
        <v>2.0840999999999976</v>
      </c>
      <c r="V4">
        <v>-0.33079999999999909</v>
      </c>
      <c r="W4">
        <v>-2.0265999999999962</v>
      </c>
      <c r="X4">
        <v>1.4813999999999989</v>
      </c>
      <c r="Y4">
        <v>1.9079000000000028</v>
      </c>
      <c r="Z4">
        <v>-113.36600000000089</v>
      </c>
      <c r="AA4">
        <v>2.2195999999994456</v>
      </c>
      <c r="AB4">
        <v>84.23960000000011</v>
      </c>
      <c r="AC4">
        <v>87.447600000000307</v>
      </c>
      <c r="AD4">
        <v>24.72999999999999</v>
      </c>
      <c r="AE4">
        <v>19.165599999999984</v>
      </c>
      <c r="AF4">
        <v>10.479399999999998</v>
      </c>
      <c r="AG4">
        <v>14.410000000000011</v>
      </c>
      <c r="AH4">
        <v>21.009600000000006</v>
      </c>
      <c r="AI4">
        <v>102.99959999999993</v>
      </c>
      <c r="AJ4">
        <v>49.686800000000517</v>
      </c>
      <c r="AK4">
        <v>2.3676000000009481</v>
      </c>
      <c r="AL4">
        <v>-3.4745000000000044</v>
      </c>
      <c r="AM4">
        <v>-31.029800000000066</v>
      </c>
      <c r="AN4">
        <v>-85.258800000000065</v>
      </c>
      <c r="AO4">
        <v>-65.408000000000158</v>
      </c>
      <c r="AP4">
        <v>-11.0152</v>
      </c>
      <c r="AQ4">
        <v>-0.54359999999999997</v>
      </c>
      <c r="AR4">
        <v>47.0122</v>
      </c>
      <c r="AS4">
        <v>43.751000000000005</v>
      </c>
      <c r="AT4">
        <v>11.9076</v>
      </c>
      <c r="AU4">
        <v>11.645199999999999</v>
      </c>
      <c r="AV4">
        <v>0.32719999999999999</v>
      </c>
      <c r="AW4">
        <v>4.1586999999999996</v>
      </c>
      <c r="AX4">
        <v>3.7856999999999998</v>
      </c>
      <c r="AY4">
        <v>8.7623999999999995</v>
      </c>
    </row>
    <row r="5" spans="1:51" x14ac:dyDescent="0.25">
      <c r="A5">
        <v>1993</v>
      </c>
      <c r="B5">
        <v>3.4975999999999807</v>
      </c>
      <c r="C5">
        <v>-5.8861000000000168</v>
      </c>
      <c r="D5">
        <v>-3.4286000000000314</v>
      </c>
      <c r="E5">
        <v>6.0499999999954923E-2</v>
      </c>
      <c r="F5">
        <v>1.5997999999999948</v>
      </c>
      <c r="G5">
        <v>0.19860000000005584</v>
      </c>
      <c r="H5">
        <v>0.98009999999996467</v>
      </c>
      <c r="I5">
        <v>1.4170999999999765</v>
      </c>
      <c r="J5">
        <v>-0.28400000000002734</v>
      </c>
      <c r="K5">
        <v>-2.0982999999999734</v>
      </c>
      <c r="L5">
        <v>-0.70470000000000965</v>
      </c>
      <c r="M5">
        <v>-0.72819999999999752</v>
      </c>
      <c r="N5">
        <v>-0.82630000000000114</v>
      </c>
      <c r="O5">
        <v>-0.19279999999999831</v>
      </c>
      <c r="P5">
        <v>1.7073999999999971</v>
      </c>
      <c r="Q5">
        <v>-0.4700000000000033</v>
      </c>
      <c r="R5">
        <v>-3.744900000000003</v>
      </c>
      <c r="S5">
        <v>-1.622199999999995</v>
      </c>
      <c r="T5">
        <v>-1.0577260000000042</v>
      </c>
      <c r="U5">
        <v>-1.5264000000000024</v>
      </c>
      <c r="V5">
        <v>2.1182000000000012</v>
      </c>
      <c r="W5">
        <v>-0.53759999999999586</v>
      </c>
      <c r="X5">
        <v>-0.503000000000001</v>
      </c>
      <c r="Y5">
        <v>1.6998000000000033</v>
      </c>
      <c r="Z5">
        <v>-142.39650000000097</v>
      </c>
      <c r="AA5">
        <v>189.99289999999939</v>
      </c>
      <c r="AB5">
        <v>100.69790000000012</v>
      </c>
      <c r="AC5">
        <v>-5.9600999999996702</v>
      </c>
      <c r="AD5">
        <v>-49.300000000000011</v>
      </c>
      <c r="AE5">
        <v>-7.262100000000018</v>
      </c>
      <c r="AF5">
        <v>-2.4811000000000019</v>
      </c>
      <c r="AG5">
        <v>-6.3334999999999884</v>
      </c>
      <c r="AH5">
        <v>7.460400000000007</v>
      </c>
      <c r="AI5">
        <v>83.535399999999925</v>
      </c>
      <c r="AJ5">
        <v>20.195700000000556</v>
      </c>
      <c r="AK5">
        <v>23.889900000001035</v>
      </c>
      <c r="AL5">
        <v>5.2353999999999949</v>
      </c>
      <c r="AM5">
        <v>3.2302999999999287</v>
      </c>
      <c r="AN5">
        <v>31.001299999999929</v>
      </c>
      <c r="AO5">
        <v>36.89299999999983</v>
      </c>
      <c r="AP5">
        <v>-5.4692999999999969</v>
      </c>
      <c r="AQ5">
        <v>-0.63239999999999996</v>
      </c>
      <c r="AR5">
        <v>46.9788</v>
      </c>
      <c r="AS5">
        <v>43.656000000000006</v>
      </c>
      <c r="AT5">
        <v>11.8589</v>
      </c>
      <c r="AU5">
        <v>11.534799999999999</v>
      </c>
      <c r="AV5">
        <v>0.32469999999999999</v>
      </c>
      <c r="AW5">
        <v>4.1362999999999994</v>
      </c>
      <c r="AX5">
        <v>3.8114999999999997</v>
      </c>
      <c r="AY5">
        <v>8.7204999999999995</v>
      </c>
    </row>
    <row r="6" spans="1:51" x14ac:dyDescent="0.25">
      <c r="A6">
        <v>1994</v>
      </c>
      <c r="B6">
        <v>-7.1932000000000222</v>
      </c>
      <c r="C6">
        <v>-6.2038000000000189</v>
      </c>
      <c r="D6">
        <v>-1.3488000000000326</v>
      </c>
      <c r="E6">
        <v>1.5299999999999514</v>
      </c>
      <c r="F6">
        <v>-1.6486000000000089</v>
      </c>
      <c r="G6">
        <v>2.6538000000000608</v>
      </c>
      <c r="H6">
        <v>3.421799999999962</v>
      </c>
      <c r="I6">
        <v>-1.432200000000023</v>
      </c>
      <c r="J6">
        <v>-0.69900000000002649</v>
      </c>
      <c r="K6">
        <v>-0.3073999999999657</v>
      </c>
      <c r="L6">
        <v>3.7423999999999893</v>
      </c>
      <c r="M6">
        <v>3.8574000000000055</v>
      </c>
      <c r="N6">
        <v>2.1102999999999987</v>
      </c>
      <c r="O6">
        <v>-0.30589999999999806</v>
      </c>
      <c r="P6">
        <v>0.97499999999999698</v>
      </c>
      <c r="Q6">
        <v>-2.7723000000000035</v>
      </c>
      <c r="R6">
        <v>-1.1350000000000029</v>
      </c>
      <c r="S6">
        <v>-0.68989999999999441</v>
      </c>
      <c r="T6">
        <v>0.21227199999999602</v>
      </c>
      <c r="U6">
        <v>2.6330999999999971</v>
      </c>
      <c r="V6">
        <v>0.69720000000000093</v>
      </c>
      <c r="W6">
        <v>-3.2685999999999957</v>
      </c>
      <c r="X6">
        <v>0.23259999999999881</v>
      </c>
      <c r="Y6">
        <v>0.89170000000000327</v>
      </c>
      <c r="Z6">
        <v>175.57299999999896</v>
      </c>
      <c r="AA6">
        <v>205.76619999999934</v>
      </c>
      <c r="AB6">
        <v>37.156200000000126</v>
      </c>
      <c r="AC6">
        <v>-52.367799999999647</v>
      </c>
      <c r="AD6">
        <v>40.669999999999987</v>
      </c>
      <c r="AE6">
        <v>-25.68980000000002</v>
      </c>
      <c r="AF6">
        <v>-2.441600000000002</v>
      </c>
      <c r="AG6">
        <v>4.9230000000000125</v>
      </c>
      <c r="AH6">
        <v>16.911200000000008</v>
      </c>
      <c r="AI6">
        <v>29.071199999999919</v>
      </c>
      <c r="AJ6">
        <v>-115.2953999999994</v>
      </c>
      <c r="AK6">
        <v>-118.58779999999899</v>
      </c>
      <c r="AL6">
        <v>-6.0547000000000057</v>
      </c>
      <c r="AM6">
        <v>53.490399999999923</v>
      </c>
      <c r="AN6">
        <v>105.26139999999992</v>
      </c>
      <c r="AO6">
        <v>-39.806000000000182</v>
      </c>
      <c r="AP6">
        <v>-11.923399999999994</v>
      </c>
      <c r="AQ6">
        <v>-0.72119999999999995</v>
      </c>
      <c r="AR6">
        <v>46.945399999999999</v>
      </c>
      <c r="AS6">
        <v>43.561000000000007</v>
      </c>
      <c r="AT6">
        <v>11.8102</v>
      </c>
      <c r="AU6">
        <v>11.424399999999999</v>
      </c>
      <c r="AV6">
        <v>0.32219999999999999</v>
      </c>
      <c r="AW6">
        <v>4.1138999999999992</v>
      </c>
      <c r="AX6">
        <v>3.8372999999999995</v>
      </c>
      <c r="AY6">
        <v>8.6785999999999994</v>
      </c>
    </row>
    <row r="7" spans="1:51" x14ac:dyDescent="0.25">
      <c r="A7">
        <v>1995</v>
      </c>
      <c r="B7">
        <v>6.3159999999999741</v>
      </c>
      <c r="C7">
        <v>-3.2215000000000202</v>
      </c>
      <c r="D7">
        <v>2.730999999999959</v>
      </c>
      <c r="E7">
        <v>-2.1005000000000535</v>
      </c>
      <c r="F7">
        <v>-1.997000000000007</v>
      </c>
      <c r="G7">
        <v>0.80900000000006855</v>
      </c>
      <c r="H7">
        <v>2.1634999999999565</v>
      </c>
      <c r="I7">
        <v>0.41849999999996612</v>
      </c>
      <c r="J7">
        <v>-1.8140000000000285</v>
      </c>
      <c r="K7">
        <v>3.3835000000000335</v>
      </c>
      <c r="L7">
        <v>-3.7105000000000175</v>
      </c>
      <c r="M7">
        <v>-5.2569999999999943</v>
      </c>
      <c r="N7">
        <v>0.40689999999999893</v>
      </c>
      <c r="O7">
        <v>-0.29899999999999816</v>
      </c>
      <c r="P7">
        <v>-2.537400000000003</v>
      </c>
      <c r="Q7">
        <v>-2.7346000000000035</v>
      </c>
      <c r="R7">
        <v>-1.5451000000000032</v>
      </c>
      <c r="S7">
        <v>-2.6875999999999944</v>
      </c>
      <c r="T7">
        <v>-0.99773000000000467</v>
      </c>
      <c r="U7">
        <v>-1.6974000000000031</v>
      </c>
      <c r="V7">
        <v>-0.28379999999999894</v>
      </c>
      <c r="W7">
        <v>4.5004000000000053</v>
      </c>
      <c r="X7">
        <v>0.70819999999999883</v>
      </c>
      <c r="Y7">
        <v>-1.4963999999999968</v>
      </c>
      <c r="Z7">
        <v>-236.45750000000112</v>
      </c>
      <c r="AA7">
        <v>122.53949999999929</v>
      </c>
      <c r="AB7">
        <v>-81.385499999999865</v>
      </c>
      <c r="AC7">
        <v>51.224500000000376</v>
      </c>
      <c r="AD7">
        <v>49.639999999999986</v>
      </c>
      <c r="AE7">
        <v>-12.117500000000021</v>
      </c>
      <c r="AF7">
        <v>-2.4021000000000021</v>
      </c>
      <c r="AG7">
        <v>-3.8204999999999867</v>
      </c>
      <c r="AH7">
        <v>36.362000000000009</v>
      </c>
      <c r="AI7">
        <v>-83.393000000000086</v>
      </c>
      <c r="AJ7">
        <v>109.21350000000064</v>
      </c>
      <c r="AK7">
        <v>163.93450000000098</v>
      </c>
      <c r="AL7">
        <v>-11.344800000000006</v>
      </c>
      <c r="AM7">
        <v>8.7504999999999171</v>
      </c>
      <c r="AN7">
        <v>62.521499999999918</v>
      </c>
      <c r="AO7">
        <v>12.494999999999806</v>
      </c>
      <c r="AP7">
        <v>-17.377499999999991</v>
      </c>
      <c r="AQ7">
        <v>1.19</v>
      </c>
      <c r="AR7">
        <v>46.911999999999999</v>
      </c>
      <c r="AS7">
        <v>43.466000000000008</v>
      </c>
      <c r="AT7">
        <v>11.7615</v>
      </c>
      <c r="AU7">
        <v>11.313999999999998</v>
      </c>
      <c r="AV7">
        <v>0.31969999999999998</v>
      </c>
      <c r="AW7">
        <v>4.091499999999999</v>
      </c>
      <c r="AX7">
        <v>3.8630999999999993</v>
      </c>
      <c r="AY7">
        <v>8.6366999999999994</v>
      </c>
    </row>
    <row r="8" spans="1:51" x14ac:dyDescent="0.25">
      <c r="A8">
        <v>1996</v>
      </c>
      <c r="B8">
        <v>-0.87480000000002534</v>
      </c>
      <c r="C8">
        <v>-1.6392000000000237</v>
      </c>
      <c r="D8">
        <v>-3.1892000000000422</v>
      </c>
      <c r="E8">
        <v>-0.93100000000005423</v>
      </c>
      <c r="F8">
        <v>-1.9454000000000136</v>
      </c>
      <c r="G8">
        <v>0.8642000000000678</v>
      </c>
      <c r="H8">
        <v>-2.2948000000000377</v>
      </c>
      <c r="I8">
        <v>-0.13080000000003622</v>
      </c>
      <c r="J8">
        <v>-0.12900000000003331</v>
      </c>
      <c r="K8">
        <v>-0.92559999999996734</v>
      </c>
      <c r="L8">
        <v>-4.1634000000000171</v>
      </c>
      <c r="M8">
        <v>4.428600000000003</v>
      </c>
      <c r="N8">
        <v>3.1634999999999991</v>
      </c>
      <c r="O8">
        <v>-0.46209999999999773</v>
      </c>
      <c r="P8">
        <v>-2.049800000000003</v>
      </c>
      <c r="Q8">
        <v>1.6930999999999958</v>
      </c>
      <c r="R8">
        <v>-1.2052000000000036</v>
      </c>
      <c r="S8">
        <v>-1.4152999999999936</v>
      </c>
      <c r="T8">
        <v>2.902267999999995</v>
      </c>
      <c r="U8">
        <v>-1.8579000000000034</v>
      </c>
      <c r="V8">
        <v>2.3552000000000013</v>
      </c>
      <c r="W8">
        <v>2.6694000000000049</v>
      </c>
      <c r="X8">
        <v>-0.19620000000000193</v>
      </c>
      <c r="Y8">
        <v>3.6255000000000037</v>
      </c>
      <c r="Z8">
        <v>-16.488000000001193</v>
      </c>
      <c r="AA8">
        <v>81.312799999999243</v>
      </c>
      <c r="AB8">
        <v>98.072800000000143</v>
      </c>
      <c r="AC8">
        <v>17.816800000000399</v>
      </c>
      <c r="AD8">
        <v>44.609999999999985</v>
      </c>
      <c r="AE8">
        <v>-11.545200000000023</v>
      </c>
      <c r="AF8">
        <v>3.6373999999999977</v>
      </c>
      <c r="AG8">
        <v>-3.5639999999999858</v>
      </c>
      <c r="AH8">
        <v>1.81280000000001</v>
      </c>
      <c r="AI8">
        <v>46.142799999999909</v>
      </c>
      <c r="AJ8">
        <v>126.72240000000068</v>
      </c>
      <c r="AK8">
        <v>-136.54319999999905</v>
      </c>
      <c r="AL8">
        <v>-6.6349000000000071</v>
      </c>
      <c r="AM8">
        <v>9.0105999999999113</v>
      </c>
      <c r="AN8">
        <v>-66.218400000000088</v>
      </c>
      <c r="AO8">
        <v>-7.2040000000002067</v>
      </c>
      <c r="AP8">
        <v>-4.8315999999999875</v>
      </c>
      <c r="AQ8">
        <v>-0.89879999999999993</v>
      </c>
      <c r="AR8">
        <v>46.878599999999999</v>
      </c>
      <c r="AS8">
        <v>43.371000000000009</v>
      </c>
      <c r="AT8">
        <v>11.7128</v>
      </c>
      <c r="AU8">
        <v>11.203599999999998</v>
      </c>
      <c r="AV8">
        <v>0.31719999999999998</v>
      </c>
      <c r="AW8">
        <v>4.0690999999999988</v>
      </c>
      <c r="AX8">
        <v>3.8888999999999991</v>
      </c>
      <c r="AY8">
        <v>8.5947999999999993</v>
      </c>
    </row>
    <row r="9" spans="1:51" x14ac:dyDescent="0.25">
      <c r="A9">
        <v>1997</v>
      </c>
      <c r="B9">
        <v>0.73439999999997241</v>
      </c>
      <c r="C9">
        <v>4.8430999999999749</v>
      </c>
      <c r="D9">
        <v>-0.8094000000000463</v>
      </c>
      <c r="E9">
        <v>-2.2615000000000549</v>
      </c>
      <c r="F9">
        <v>-3.5938000000000088</v>
      </c>
      <c r="G9">
        <v>1.9400000000075579E-2</v>
      </c>
      <c r="H9">
        <v>-0.95310000000004891</v>
      </c>
      <c r="I9">
        <v>-1.58010000000003</v>
      </c>
      <c r="J9">
        <v>-0.94400000000003104</v>
      </c>
      <c r="K9">
        <v>-1.3346999999999625</v>
      </c>
      <c r="L9">
        <v>-3.0163000000000153</v>
      </c>
      <c r="M9">
        <v>0.41420000000000456</v>
      </c>
      <c r="N9">
        <v>0.34009999999999874</v>
      </c>
      <c r="O9">
        <v>-1.0751999999999979</v>
      </c>
      <c r="P9">
        <v>-0.87220000000000297</v>
      </c>
      <c r="Q9">
        <v>-1.0392000000000037</v>
      </c>
      <c r="R9">
        <v>-1.4153000000000038</v>
      </c>
      <c r="S9">
        <v>-2.4729999999999936</v>
      </c>
      <c r="T9">
        <v>-0.3277340000000053</v>
      </c>
      <c r="U9">
        <v>1.971599999999996</v>
      </c>
      <c r="V9">
        <v>-2.5057999999999989</v>
      </c>
      <c r="W9">
        <v>-2.7015999999999947</v>
      </c>
      <c r="X9">
        <v>2.1793999999999984</v>
      </c>
      <c r="Y9">
        <v>-0.60259999999999625</v>
      </c>
      <c r="Z9">
        <v>-69.518500000001268</v>
      </c>
      <c r="AA9">
        <v>-99.913900000000808</v>
      </c>
      <c r="AB9">
        <v>14.531100000000151</v>
      </c>
      <c r="AC9">
        <v>53.409100000000421</v>
      </c>
      <c r="AD9">
        <v>90.579999999999984</v>
      </c>
      <c r="AE9">
        <v>-1.9729000000000241</v>
      </c>
      <c r="AF9">
        <v>-1.3231000000000024</v>
      </c>
      <c r="AG9">
        <v>6.692500000000015</v>
      </c>
      <c r="AH9">
        <v>16.263600000000011</v>
      </c>
      <c r="AI9">
        <v>53.678599999999904</v>
      </c>
      <c r="AJ9">
        <v>87.231300000000715</v>
      </c>
      <c r="AK9">
        <v>-12.020899999999074</v>
      </c>
      <c r="AL9">
        <v>-11.925000000000008</v>
      </c>
      <c r="AM9">
        <v>-7.7293000000000944</v>
      </c>
      <c r="AN9">
        <v>-28.958300000000094</v>
      </c>
      <c r="AO9">
        <v>-45.903000000000219</v>
      </c>
      <c r="AP9">
        <v>-13.285699999999984</v>
      </c>
      <c r="AQ9">
        <v>-0.98759999999999992</v>
      </c>
      <c r="AR9">
        <v>46.845199999999998</v>
      </c>
      <c r="AS9">
        <v>43.27600000000001</v>
      </c>
      <c r="AT9">
        <v>11.664099999999999</v>
      </c>
      <c r="AU9">
        <v>11.093199999999998</v>
      </c>
      <c r="AV9">
        <v>0.31469999999999998</v>
      </c>
      <c r="AW9">
        <v>4.0466999999999986</v>
      </c>
      <c r="AX9">
        <v>3.914699999999999</v>
      </c>
      <c r="AY9">
        <v>8.5528999999999993</v>
      </c>
    </row>
    <row r="10" spans="1:51" x14ac:dyDescent="0.25">
      <c r="A10">
        <v>1998</v>
      </c>
      <c r="B10">
        <v>6.8435999999999737</v>
      </c>
      <c r="C10">
        <v>6.1253999999999778</v>
      </c>
      <c r="D10">
        <v>2.670399999999951</v>
      </c>
      <c r="E10">
        <v>1.1079999999999401</v>
      </c>
      <c r="F10">
        <v>3.1577999999999875</v>
      </c>
      <c r="G10">
        <v>-1.1253999999999138</v>
      </c>
      <c r="H10">
        <v>-0.61140000000004591</v>
      </c>
      <c r="I10">
        <v>1.5705999999999563</v>
      </c>
      <c r="J10">
        <v>1.5409999999999684</v>
      </c>
      <c r="K10">
        <v>0.35620000000003671</v>
      </c>
      <c r="L10">
        <v>-0.36920000000002062</v>
      </c>
      <c r="M10">
        <v>4.8998000000000062</v>
      </c>
      <c r="N10">
        <v>1.0966999999999985</v>
      </c>
      <c r="O10">
        <v>0.82170000000000254</v>
      </c>
      <c r="P10">
        <v>1.0953999999999962</v>
      </c>
      <c r="Q10">
        <v>-1.0215000000000041</v>
      </c>
      <c r="R10">
        <v>1.0445999999999964</v>
      </c>
      <c r="S10">
        <v>2.999300000000007</v>
      </c>
      <c r="T10">
        <v>-0.52773600000000531</v>
      </c>
      <c r="U10">
        <v>-1.6589000000000045</v>
      </c>
      <c r="V10">
        <v>-1.1467999999999985</v>
      </c>
      <c r="W10">
        <v>0.50740000000000585</v>
      </c>
      <c r="X10">
        <v>-1.845000000000002</v>
      </c>
      <c r="Y10">
        <v>-2.610699999999996</v>
      </c>
      <c r="Z10">
        <v>-261.54900000000134</v>
      </c>
      <c r="AA10">
        <v>-126.14060000000086</v>
      </c>
      <c r="AB10">
        <v>-84.01059999999984</v>
      </c>
      <c r="AC10">
        <v>-38.998599999999556</v>
      </c>
      <c r="AD10">
        <v>-81.450000000000017</v>
      </c>
      <c r="AE10">
        <v>11.599399999999974</v>
      </c>
      <c r="AF10">
        <v>-1.2836000000000025</v>
      </c>
      <c r="AG10">
        <v>-8.0509999999999842</v>
      </c>
      <c r="AH10">
        <v>-28.285599999999988</v>
      </c>
      <c r="AI10">
        <v>0.21439999999989823</v>
      </c>
      <c r="AJ10">
        <v>8.7402000000007547</v>
      </c>
      <c r="AK10">
        <v>-146.4985999999991</v>
      </c>
      <c r="AL10">
        <v>14.784899999999991</v>
      </c>
      <c r="AM10">
        <v>-24.4692000000001</v>
      </c>
      <c r="AN10">
        <v>-16.698200000000099</v>
      </c>
      <c r="AO10">
        <v>36.397999999999769</v>
      </c>
      <c r="AP10">
        <v>17.260200000000019</v>
      </c>
      <c r="AQ10">
        <v>-1.0764</v>
      </c>
      <c r="AR10">
        <v>46.811799999999998</v>
      </c>
      <c r="AS10">
        <v>43.181000000000012</v>
      </c>
      <c r="AT10">
        <v>11.615399999999999</v>
      </c>
      <c r="AU10">
        <v>10.982799999999997</v>
      </c>
      <c r="AV10">
        <v>0.31219999999999998</v>
      </c>
      <c r="AW10">
        <v>4.0242999999999984</v>
      </c>
      <c r="AX10">
        <v>3.9404999999999988</v>
      </c>
      <c r="AY10">
        <v>8.5109999999999992</v>
      </c>
    </row>
    <row r="11" spans="1:51" x14ac:dyDescent="0.25">
      <c r="A11">
        <v>1999</v>
      </c>
      <c r="B11">
        <v>1.0527999999999693</v>
      </c>
      <c r="C11">
        <v>2.6076999999999728</v>
      </c>
      <c r="D11">
        <v>0.7501999999999498</v>
      </c>
      <c r="E11">
        <v>0.37749999999993378</v>
      </c>
      <c r="F11">
        <v>0.60939999999998662</v>
      </c>
      <c r="G11">
        <v>2.4298000000000854</v>
      </c>
      <c r="H11">
        <v>2.9302999999999457</v>
      </c>
      <c r="I11">
        <v>-0.27870000000004325</v>
      </c>
      <c r="J11">
        <v>1.8259999999999579</v>
      </c>
      <c r="K11">
        <v>-1.452899999999957</v>
      </c>
      <c r="L11">
        <v>3.6778999999999797</v>
      </c>
      <c r="M11">
        <v>1.9854000000000021</v>
      </c>
      <c r="N11">
        <v>3.7232999999999983</v>
      </c>
      <c r="O11">
        <v>0.57860000000000245</v>
      </c>
      <c r="P11">
        <v>0.39299999999999624</v>
      </c>
      <c r="Q11">
        <v>-4.1938000000000049</v>
      </c>
      <c r="R11">
        <v>-0.50550000000000406</v>
      </c>
      <c r="S11">
        <v>-3.5883999999999925</v>
      </c>
      <c r="T11">
        <v>-1.7277380000000058</v>
      </c>
      <c r="U11">
        <v>-1.2294000000000049</v>
      </c>
      <c r="V11">
        <v>6.3922000000000025</v>
      </c>
      <c r="W11">
        <v>-0.11359999999999371</v>
      </c>
      <c r="X11">
        <v>-0.88940000000000197</v>
      </c>
      <c r="Y11">
        <v>-1.1387999999999958</v>
      </c>
      <c r="Z11">
        <v>-90.579500000001417</v>
      </c>
      <c r="AA11">
        <v>-26.36730000000091</v>
      </c>
      <c r="AB11">
        <v>-27.552299999999832</v>
      </c>
      <c r="AC11">
        <v>-20.406299999999533</v>
      </c>
      <c r="AD11">
        <v>-24.480000000000018</v>
      </c>
      <c r="AE11">
        <v>-22.828300000000027</v>
      </c>
      <c r="AF11">
        <v>-2.2441000000000026</v>
      </c>
      <c r="AG11">
        <v>-1.7944999999999833</v>
      </c>
      <c r="AH11">
        <v>-30.834799999999987</v>
      </c>
      <c r="AI11">
        <v>51.750199999999893</v>
      </c>
      <c r="AJ11">
        <v>-105.75089999999921</v>
      </c>
      <c r="AK11">
        <v>-61.976299999999128</v>
      </c>
      <c r="AL11">
        <v>0.4947999999999908</v>
      </c>
      <c r="AM11">
        <v>49.790899999999894</v>
      </c>
      <c r="AN11">
        <v>90.561899999999895</v>
      </c>
      <c r="AO11">
        <v>-11.301000000000244</v>
      </c>
      <c r="AP11">
        <v>18.806100000000022</v>
      </c>
      <c r="AQ11">
        <v>-1.1652</v>
      </c>
      <c r="AR11">
        <v>46.778399999999998</v>
      </c>
      <c r="AS11">
        <v>43.086000000000013</v>
      </c>
      <c r="AT11">
        <v>11.566699999999999</v>
      </c>
      <c r="AU11">
        <v>10.872399999999997</v>
      </c>
      <c r="AV11">
        <v>0.30969999999999998</v>
      </c>
      <c r="AW11">
        <v>4.0018999999999982</v>
      </c>
      <c r="AX11">
        <v>3.9662999999999986</v>
      </c>
      <c r="AY11">
        <v>8.4690999999999992</v>
      </c>
    </row>
    <row r="12" spans="1:51" x14ac:dyDescent="0.25">
      <c r="A12">
        <v>2000</v>
      </c>
      <c r="B12">
        <v>-1.8380000000000294</v>
      </c>
      <c r="C12">
        <v>2.1899999999999729</v>
      </c>
      <c r="D12">
        <v>5.2299999999999471</v>
      </c>
      <c r="E12">
        <v>-1.4530000000000669</v>
      </c>
      <c r="F12">
        <v>-3.9000000000015689E-2</v>
      </c>
      <c r="G12">
        <v>-0.41499999999990678</v>
      </c>
      <c r="H12">
        <v>-4.128000000000057</v>
      </c>
      <c r="I12">
        <v>-2.2280000000000371</v>
      </c>
      <c r="J12">
        <v>-1.6890000000000356</v>
      </c>
      <c r="K12">
        <v>-0.56199999999995498</v>
      </c>
      <c r="L12">
        <v>-1.2750000000000199</v>
      </c>
      <c r="M12">
        <v>-5.8289999999999935</v>
      </c>
      <c r="N12">
        <v>-0.13010000000000144</v>
      </c>
      <c r="O12">
        <v>-0.56449999999999756</v>
      </c>
      <c r="P12">
        <v>-0.93940000000000357</v>
      </c>
      <c r="Q12">
        <v>-0.55610000000000515</v>
      </c>
      <c r="R12">
        <v>-0.36560000000000414</v>
      </c>
      <c r="S12">
        <v>1.7639000000000076</v>
      </c>
      <c r="T12">
        <v>2.0822599999999944</v>
      </c>
      <c r="U12">
        <v>-0.71990000000000531</v>
      </c>
      <c r="V12">
        <v>0.12120000000000086</v>
      </c>
      <c r="W12">
        <v>-3.4845999999999941</v>
      </c>
      <c r="X12">
        <v>-0.32380000000000209</v>
      </c>
      <c r="Y12">
        <v>0.28310000000000413</v>
      </c>
      <c r="Z12">
        <v>-2.6100000000014916</v>
      </c>
      <c r="AA12">
        <v>-15.59400000000096</v>
      </c>
      <c r="AB12">
        <v>-162.09399999999982</v>
      </c>
      <c r="AC12">
        <v>36.18600000000049</v>
      </c>
      <c r="AD12">
        <v>-7.5100000000000193</v>
      </c>
      <c r="AE12">
        <v>0.74399999999997135</v>
      </c>
      <c r="AF12">
        <v>13.795399999999997</v>
      </c>
      <c r="AG12">
        <v>10.462000000000018</v>
      </c>
      <c r="AH12">
        <v>30.616000000000014</v>
      </c>
      <c r="AI12">
        <v>25.285999999999888</v>
      </c>
      <c r="AJ12">
        <v>37.758000000000834</v>
      </c>
      <c r="AK12">
        <v>178.54600000000084</v>
      </c>
      <c r="AL12">
        <v>-2.7953000000000099</v>
      </c>
      <c r="AM12">
        <v>-8.9490000000001118</v>
      </c>
      <c r="AN12">
        <v>-112.17800000000011</v>
      </c>
      <c r="AO12">
        <v>-60.000000000000256</v>
      </c>
      <c r="AP12">
        <v>-21.647999999999975</v>
      </c>
      <c r="AQ12">
        <v>-1.254</v>
      </c>
      <c r="AR12">
        <v>46.744999999999997</v>
      </c>
      <c r="AS12">
        <v>42.991000000000014</v>
      </c>
      <c r="AT12">
        <v>11.517999999999999</v>
      </c>
      <c r="AU12">
        <v>10.761999999999997</v>
      </c>
      <c r="AV12">
        <v>0.30719999999999997</v>
      </c>
      <c r="AW12">
        <v>3.979499999999998</v>
      </c>
      <c r="AX12">
        <v>3.9920999999999984</v>
      </c>
      <c r="AY12">
        <v>8.4271999999999991</v>
      </c>
    </row>
    <row r="13" spans="1:51" x14ac:dyDescent="0.25">
      <c r="A13">
        <v>2001</v>
      </c>
      <c r="B13">
        <v>-0.72880000000003164</v>
      </c>
      <c r="C13">
        <v>0.37229999999997077</v>
      </c>
      <c r="D13">
        <v>-2.5902000000000527</v>
      </c>
      <c r="E13">
        <v>0.31649999999992673</v>
      </c>
      <c r="F13">
        <v>0.91259999999998342</v>
      </c>
      <c r="G13">
        <v>1.6402000000000925</v>
      </c>
      <c r="H13">
        <v>-3.786300000000054</v>
      </c>
      <c r="I13">
        <v>2.6226999999999521</v>
      </c>
      <c r="J13">
        <v>-0.50400000000004042</v>
      </c>
      <c r="K13">
        <v>0.92890000000004846</v>
      </c>
      <c r="L13">
        <v>3.4720999999999762</v>
      </c>
      <c r="M13">
        <v>5.0566000000000031</v>
      </c>
      <c r="N13">
        <v>-1.1335000000000015</v>
      </c>
      <c r="O13">
        <v>-0.59759999999999724</v>
      </c>
      <c r="P13">
        <v>2.6081999999999956</v>
      </c>
      <c r="Q13">
        <v>-4.0184000000000051</v>
      </c>
      <c r="R13">
        <v>-0.76570000000000427</v>
      </c>
      <c r="S13">
        <v>1.9262000000000086</v>
      </c>
      <c r="T13">
        <v>-1.9577420000000063</v>
      </c>
      <c r="U13">
        <v>-0.31040000000000578</v>
      </c>
      <c r="V13">
        <v>-0.10979999999999857</v>
      </c>
      <c r="W13">
        <v>-3.3955999999999937</v>
      </c>
      <c r="X13">
        <v>-2.8882000000000021</v>
      </c>
      <c r="Y13">
        <v>-1.5149999999999952</v>
      </c>
      <c r="Z13">
        <v>-33.640500000001566</v>
      </c>
      <c r="AA13">
        <v>36.179299999998989</v>
      </c>
      <c r="AB13">
        <v>73.364300000000185</v>
      </c>
      <c r="AC13">
        <v>-21.221699999999487</v>
      </c>
      <c r="AD13">
        <v>-35.54000000000002</v>
      </c>
      <c r="AE13">
        <v>-17.68370000000003</v>
      </c>
      <c r="AF13">
        <v>10.834899999999998</v>
      </c>
      <c r="AG13">
        <v>-8.2814999999999817</v>
      </c>
      <c r="AH13">
        <v>5.0668000000000148</v>
      </c>
      <c r="AI13">
        <v>-24.178200000000118</v>
      </c>
      <c r="AJ13">
        <v>-105.73309999999913</v>
      </c>
      <c r="AK13">
        <v>-158.93169999999918</v>
      </c>
      <c r="AL13">
        <v>1.9145999999999894</v>
      </c>
      <c r="AM13">
        <v>37.311099999999882</v>
      </c>
      <c r="AN13">
        <v>-102.91790000000012</v>
      </c>
      <c r="AO13">
        <v>72.300999999999732</v>
      </c>
      <c r="AP13">
        <v>-10.102099999999972</v>
      </c>
      <c r="AQ13">
        <v>-1.3428</v>
      </c>
      <c r="AR13">
        <v>46.711599999999997</v>
      </c>
      <c r="AS13">
        <v>42.896000000000015</v>
      </c>
      <c r="AT13">
        <v>11.469299999999999</v>
      </c>
      <c r="AU13">
        <v>10.651599999999997</v>
      </c>
      <c r="AV13">
        <v>0.30469999999999997</v>
      </c>
      <c r="AW13">
        <v>3.9570999999999978</v>
      </c>
      <c r="AX13">
        <v>4.0178999999999983</v>
      </c>
      <c r="AY13">
        <v>8.3852999999999991</v>
      </c>
    </row>
    <row r="14" spans="1:51" x14ac:dyDescent="0.25">
      <c r="A14">
        <v>2002</v>
      </c>
      <c r="B14">
        <v>6.6803999999999633</v>
      </c>
      <c r="C14">
        <v>4.9545999999999708</v>
      </c>
      <c r="D14">
        <v>1.8895999999999447</v>
      </c>
      <c r="E14">
        <v>2.485999999999926</v>
      </c>
      <c r="F14">
        <v>-2.9358000000000146</v>
      </c>
      <c r="G14">
        <v>-1.0045999999998969</v>
      </c>
      <c r="H14">
        <v>0.75539999999993768</v>
      </c>
      <c r="I14">
        <v>1.6733999999999583</v>
      </c>
      <c r="J14">
        <v>1.6809999999999548</v>
      </c>
      <c r="K14">
        <v>-2.2801999999999509</v>
      </c>
      <c r="L14">
        <v>-1.880800000000022</v>
      </c>
      <c r="M14">
        <v>-2.357800000000001</v>
      </c>
      <c r="N14">
        <v>-1.6469000000000018</v>
      </c>
      <c r="O14">
        <v>-1.4906999999999972</v>
      </c>
      <c r="P14">
        <v>-0.97420000000000417</v>
      </c>
      <c r="Q14">
        <v>-1.8907000000000052</v>
      </c>
      <c r="R14">
        <v>0.31419999999999515</v>
      </c>
      <c r="S14">
        <v>0.53850000000000886</v>
      </c>
      <c r="T14">
        <v>-1.5577440000000067</v>
      </c>
      <c r="U14">
        <v>-0.54090000000000593</v>
      </c>
      <c r="V14">
        <v>0.75920000000000165</v>
      </c>
      <c r="W14">
        <v>-0.38659999999999339</v>
      </c>
      <c r="X14">
        <v>1.7773999999999974</v>
      </c>
      <c r="Y14">
        <v>0.69690000000000518</v>
      </c>
      <c r="Z14">
        <v>-263.67100000000164</v>
      </c>
      <c r="AA14">
        <v>-83.047400000001062</v>
      </c>
      <c r="AB14">
        <v>-60.177399999999807</v>
      </c>
      <c r="AC14">
        <v>-81.629399999999464</v>
      </c>
      <c r="AD14">
        <v>73.429999999999978</v>
      </c>
      <c r="AE14">
        <v>9.8885999999999683</v>
      </c>
      <c r="AF14">
        <v>-2.125600000000003</v>
      </c>
      <c r="AG14">
        <v>-7.0249999999999808</v>
      </c>
      <c r="AH14">
        <v>-29.482399999999984</v>
      </c>
      <c r="AI14">
        <v>72.357599999999877</v>
      </c>
      <c r="AJ14">
        <v>55.775800000000913</v>
      </c>
      <c r="AK14">
        <v>75.590600000000791</v>
      </c>
      <c r="AL14">
        <v>-13.375500000000011</v>
      </c>
      <c r="AM14">
        <v>-22.428800000000123</v>
      </c>
      <c r="AN14">
        <v>18.342199999999877</v>
      </c>
      <c r="AO14">
        <v>39.60199999999972</v>
      </c>
      <c r="AP14">
        <v>17.443800000000032</v>
      </c>
      <c r="AQ14">
        <v>-1.4316</v>
      </c>
      <c r="AR14">
        <v>46.678199999999997</v>
      </c>
      <c r="AS14">
        <v>42.801000000000016</v>
      </c>
      <c r="AT14">
        <v>11.420599999999999</v>
      </c>
      <c r="AU14">
        <v>10.541199999999996</v>
      </c>
      <c r="AV14">
        <v>0.30219999999999997</v>
      </c>
      <c r="AW14">
        <v>3.9346999999999976</v>
      </c>
      <c r="AX14">
        <v>4.0436999999999985</v>
      </c>
      <c r="AY14">
        <v>8.343399999999999</v>
      </c>
    </row>
    <row r="15" spans="1:51" x14ac:dyDescent="0.25">
      <c r="A15">
        <v>2003</v>
      </c>
      <c r="B15">
        <v>-5.3104000000000369</v>
      </c>
      <c r="C15">
        <v>-5.3631000000000313</v>
      </c>
      <c r="D15">
        <v>-0.73060000000005942</v>
      </c>
      <c r="E15">
        <v>-3.1445000000000789</v>
      </c>
      <c r="F15">
        <v>-3.0842000000000169</v>
      </c>
      <c r="G15">
        <v>-1.8493999999998891</v>
      </c>
      <c r="H15">
        <v>-0.60290000000006216</v>
      </c>
      <c r="I15">
        <v>1.9240999999999531</v>
      </c>
      <c r="J15">
        <v>6.5999999999952763E-2</v>
      </c>
      <c r="K15">
        <v>-2.6892999999999532</v>
      </c>
      <c r="L15">
        <v>1.8662999999999741</v>
      </c>
      <c r="M15">
        <v>0.12779999999999347</v>
      </c>
      <c r="N15">
        <v>-0.94030000000000191</v>
      </c>
      <c r="O15">
        <v>0.65620000000000278</v>
      </c>
      <c r="P15">
        <v>-0.81660000000000466</v>
      </c>
      <c r="Q15">
        <v>-2.3930000000000056</v>
      </c>
      <c r="R15">
        <v>-0.19590000000000529</v>
      </c>
      <c r="S15">
        <v>2.6708000000000087</v>
      </c>
      <c r="T15">
        <v>-1.137746000000007</v>
      </c>
      <c r="U15">
        <v>0.8685999999999936</v>
      </c>
      <c r="V15">
        <v>3.6182000000000016</v>
      </c>
      <c r="W15">
        <v>1.3524000000000074</v>
      </c>
      <c r="X15">
        <v>-0.66700000000000248</v>
      </c>
      <c r="Y15">
        <v>1.1588000000000047</v>
      </c>
      <c r="Z15">
        <v>96.298499999998285</v>
      </c>
      <c r="AA15">
        <v>207.72589999999889</v>
      </c>
      <c r="AB15">
        <v>23.280900000000202</v>
      </c>
      <c r="AC15">
        <v>88.962900000000559</v>
      </c>
      <c r="AD15">
        <v>84.399999999999977</v>
      </c>
      <c r="AE15">
        <v>24.460899999999967</v>
      </c>
      <c r="AF15">
        <v>-2.0861000000000032</v>
      </c>
      <c r="AG15">
        <v>-6.7684999999999809</v>
      </c>
      <c r="AH15">
        <v>-7.0315999999999832</v>
      </c>
      <c r="AI15">
        <v>81.893399999999872</v>
      </c>
      <c r="AJ15">
        <v>-52.715299999999047</v>
      </c>
      <c r="AK15">
        <v>-2.8870999999992364</v>
      </c>
      <c r="AL15">
        <v>-13.665600000000012</v>
      </c>
      <c r="AM15">
        <v>-38.168700000000129</v>
      </c>
      <c r="AN15">
        <v>-20.397700000000128</v>
      </c>
      <c r="AO15">
        <v>47.902999999999707</v>
      </c>
      <c r="AP15">
        <v>-3.0102999999999653</v>
      </c>
      <c r="AQ15">
        <v>-1.5204</v>
      </c>
      <c r="AR15">
        <v>46.644799999999996</v>
      </c>
      <c r="AS15">
        <v>42.706000000000017</v>
      </c>
      <c r="AT15">
        <v>11.371899999999998</v>
      </c>
      <c r="AU15">
        <v>10.430799999999996</v>
      </c>
      <c r="AV15">
        <v>0.29969999999999997</v>
      </c>
      <c r="AW15">
        <v>3.9122999999999974</v>
      </c>
      <c r="AX15">
        <v>4.0694999999999988</v>
      </c>
      <c r="AY15">
        <v>8.301499999999999</v>
      </c>
    </row>
    <row r="16" spans="1:51" x14ac:dyDescent="0.25">
      <c r="A16">
        <v>2004</v>
      </c>
      <c r="B16">
        <v>-8.1012000000000377</v>
      </c>
      <c r="C16">
        <v>-0.68080000000003338</v>
      </c>
      <c r="D16">
        <v>1.2491999999999379</v>
      </c>
      <c r="E16">
        <v>0.32499999999991758</v>
      </c>
      <c r="F16">
        <v>1.7673999999999808</v>
      </c>
      <c r="G16">
        <v>-1.594199999999887</v>
      </c>
      <c r="H16">
        <v>-2.1612000000000648</v>
      </c>
      <c r="I16">
        <v>-0.7252000000000578</v>
      </c>
      <c r="J16">
        <v>0.45099999999995077</v>
      </c>
      <c r="K16">
        <v>-1.1983999999999497</v>
      </c>
      <c r="L16">
        <v>-8.6600000000025545E-2</v>
      </c>
      <c r="M16">
        <v>-1.5866000000000078</v>
      </c>
      <c r="N16">
        <v>-1.703700000000002</v>
      </c>
      <c r="O16">
        <v>-0.99689999999999701</v>
      </c>
      <c r="P16">
        <v>-2.1690000000000045</v>
      </c>
      <c r="Q16">
        <v>1.314699999999994</v>
      </c>
      <c r="R16">
        <v>-1.3460000000000054</v>
      </c>
      <c r="S16">
        <v>-2.5368999999999904</v>
      </c>
      <c r="T16">
        <v>0.39225199999999294</v>
      </c>
      <c r="U16">
        <v>1.3380999999999927</v>
      </c>
      <c r="V16">
        <v>4.2872000000000021</v>
      </c>
      <c r="W16">
        <v>-2.5385999999999926</v>
      </c>
      <c r="X16">
        <v>0.17859999999999765</v>
      </c>
      <c r="Y16">
        <v>0.32070000000000487</v>
      </c>
      <c r="Z16">
        <v>184.26799999999821</v>
      </c>
      <c r="AA16">
        <v>73.499199999998837</v>
      </c>
      <c r="AB16">
        <v>-35.26079999999979</v>
      </c>
      <c r="AC16">
        <v>-14.444799999999418</v>
      </c>
      <c r="AD16">
        <v>-52.630000000000024</v>
      </c>
      <c r="AE16">
        <v>16.033199999999965</v>
      </c>
      <c r="AF16">
        <v>1.9533999999999967</v>
      </c>
      <c r="AG16">
        <v>-0.51199999999998091</v>
      </c>
      <c r="AH16">
        <v>-12.580799999999982</v>
      </c>
      <c r="AI16">
        <v>34.429199999999867</v>
      </c>
      <c r="AJ16">
        <v>2.7936000000009926</v>
      </c>
      <c r="AK16">
        <v>44.635200000000737</v>
      </c>
      <c r="AL16">
        <v>5.0442999999999873</v>
      </c>
      <c r="AM16">
        <v>-28.908600000000135</v>
      </c>
      <c r="AN16">
        <v>-64.137600000000134</v>
      </c>
      <c r="AO16">
        <v>-27.796000000000305</v>
      </c>
      <c r="AP16">
        <v>2.5356000000000378</v>
      </c>
      <c r="AQ16">
        <v>-1.6092</v>
      </c>
      <c r="AR16">
        <v>46.611399999999996</v>
      </c>
      <c r="AS16">
        <v>42.611000000000018</v>
      </c>
      <c r="AT16">
        <v>11.323199999999998</v>
      </c>
      <c r="AU16">
        <v>10.320399999999996</v>
      </c>
      <c r="AV16">
        <v>0.29719999999999996</v>
      </c>
      <c r="AW16">
        <v>3.8898999999999972</v>
      </c>
      <c r="AX16">
        <v>4.0952999999999991</v>
      </c>
      <c r="AY16">
        <v>8.2595999999999989</v>
      </c>
    </row>
    <row r="17" spans="1:51" x14ac:dyDescent="0.25">
      <c r="A17">
        <v>2005</v>
      </c>
      <c r="B17">
        <v>-2.5920000000000378</v>
      </c>
      <c r="C17">
        <v>0.50149999999996453</v>
      </c>
      <c r="D17">
        <v>-4.4710000000000676</v>
      </c>
      <c r="E17">
        <v>1.5944999999999112</v>
      </c>
      <c r="F17">
        <v>-5.0810000000000173</v>
      </c>
      <c r="G17">
        <v>2.9610000000001122</v>
      </c>
      <c r="H17">
        <v>0.18049999999993815</v>
      </c>
      <c r="I17">
        <v>2.6254999999999455</v>
      </c>
      <c r="J17">
        <v>2.5359999999999516</v>
      </c>
      <c r="K17">
        <v>0.49250000000005656</v>
      </c>
      <c r="L17">
        <v>0.96049999999997482</v>
      </c>
      <c r="M17">
        <v>-3.8010000000000126</v>
      </c>
      <c r="N17">
        <v>1.2528999999999977</v>
      </c>
      <c r="O17">
        <v>-0.67999999999999661</v>
      </c>
      <c r="P17">
        <v>-1.1514000000000051</v>
      </c>
      <c r="Q17">
        <v>-0.23760000000000581</v>
      </c>
      <c r="R17">
        <v>-2.3661000000000056</v>
      </c>
      <c r="S17">
        <v>-2.1545999999999901</v>
      </c>
      <c r="T17">
        <v>-0.52775000000000727</v>
      </c>
      <c r="U17">
        <v>-2.1424000000000074</v>
      </c>
      <c r="V17">
        <v>-1.7337999999999982</v>
      </c>
      <c r="W17">
        <v>11.140400000000007</v>
      </c>
      <c r="X17">
        <v>0.93419999999999703</v>
      </c>
      <c r="Y17">
        <v>0.15260000000000495</v>
      </c>
      <c r="Z17">
        <v>11.237499999998136</v>
      </c>
      <c r="AA17">
        <v>49.272499999998786</v>
      </c>
      <c r="AB17">
        <v>136.19750000000022</v>
      </c>
      <c r="AC17">
        <v>-51.852499999999395</v>
      </c>
      <c r="AD17">
        <v>136.33999999999997</v>
      </c>
      <c r="AE17">
        <v>-22.394500000000036</v>
      </c>
      <c r="AF17">
        <v>-2.0071000000000034</v>
      </c>
      <c r="AG17">
        <v>-7.255499999999981</v>
      </c>
      <c r="AH17">
        <v>-42.129999999999981</v>
      </c>
      <c r="AI17">
        <v>-14.035000000000139</v>
      </c>
      <c r="AJ17">
        <v>-28.697499999998968</v>
      </c>
      <c r="AK17">
        <v>117.15750000000071</v>
      </c>
      <c r="AL17">
        <v>-14.245800000000013</v>
      </c>
      <c r="AM17">
        <v>59.351499999999859</v>
      </c>
      <c r="AN17">
        <v>1.1224999999998602</v>
      </c>
      <c r="AO17">
        <v>72.504999999999683</v>
      </c>
      <c r="AP17">
        <v>36.081500000000041</v>
      </c>
      <c r="AQ17">
        <v>-1.698</v>
      </c>
      <c r="AR17">
        <v>46.577999999999996</v>
      </c>
      <c r="AS17">
        <v>42.51600000000002</v>
      </c>
      <c r="AT17">
        <v>11.274499999999998</v>
      </c>
      <c r="AU17">
        <v>10.209999999999996</v>
      </c>
      <c r="AV17">
        <v>0.29469999999999996</v>
      </c>
      <c r="AW17">
        <v>3.8674999999999971</v>
      </c>
      <c r="AX17">
        <v>4.1210999999999993</v>
      </c>
      <c r="AY17">
        <v>8.2176999999999989</v>
      </c>
    </row>
    <row r="18" spans="1:51" x14ac:dyDescent="0.25">
      <c r="A18">
        <v>2006</v>
      </c>
      <c r="B18">
        <v>6.7171999999999628</v>
      </c>
      <c r="C18">
        <v>0.28379999999996386</v>
      </c>
      <c r="D18">
        <v>-9.1200000000064563E-2</v>
      </c>
      <c r="E18">
        <v>1.2639999999999105</v>
      </c>
      <c r="F18">
        <v>-1.0294000000000167</v>
      </c>
      <c r="G18">
        <v>0.41620000000011714</v>
      </c>
      <c r="H18">
        <v>1.8221999999999241</v>
      </c>
      <c r="I18">
        <v>-0.62380000000005964</v>
      </c>
      <c r="J18">
        <v>-2.3790000000000475</v>
      </c>
      <c r="K18">
        <v>-1.3165999999999443</v>
      </c>
      <c r="L18">
        <v>4.2075999999999709</v>
      </c>
      <c r="M18">
        <v>5.3845999999999847</v>
      </c>
      <c r="N18">
        <v>2.3094999999999981</v>
      </c>
      <c r="O18">
        <v>-0.69309999999999672</v>
      </c>
      <c r="P18">
        <v>-4.4638000000000053</v>
      </c>
      <c r="Q18">
        <v>-0.92990000000000617</v>
      </c>
      <c r="R18">
        <v>2.1937999999999942</v>
      </c>
      <c r="S18">
        <v>4.647700000000011</v>
      </c>
      <c r="T18">
        <v>-0.99775200000000774</v>
      </c>
      <c r="U18">
        <v>1.0570999999999922</v>
      </c>
      <c r="V18">
        <v>-1.1447999999999983</v>
      </c>
      <c r="W18">
        <v>2.2494000000000076</v>
      </c>
      <c r="X18">
        <v>2.4397999999999973</v>
      </c>
      <c r="Y18">
        <v>-1.9754999999999958</v>
      </c>
      <c r="Z18">
        <v>-275.79300000000194</v>
      </c>
      <c r="AA18">
        <v>55.045799999998735</v>
      </c>
      <c r="AB18">
        <v>3.6558000000002266</v>
      </c>
      <c r="AC18">
        <v>-46.260199999999372</v>
      </c>
      <c r="AD18">
        <v>15.309999999999974</v>
      </c>
      <c r="AE18">
        <v>-6.8222000000000378</v>
      </c>
      <c r="AF18">
        <v>-1.9676000000000033</v>
      </c>
      <c r="AG18">
        <v>1.0000000000189857E-3</v>
      </c>
      <c r="AH18">
        <v>40.32080000000002</v>
      </c>
      <c r="AI18">
        <v>38.500799999999856</v>
      </c>
      <c r="AJ18">
        <v>-123.18859999999893</v>
      </c>
      <c r="AK18">
        <v>-162.32019999999932</v>
      </c>
      <c r="AL18">
        <v>-6.535900000000014</v>
      </c>
      <c r="AM18">
        <v>5.6115999999998536</v>
      </c>
      <c r="AN18">
        <v>51.382599999999854</v>
      </c>
      <c r="AO18">
        <v>-22.194000000000329</v>
      </c>
      <c r="AP18">
        <v>-31.372599999999956</v>
      </c>
      <c r="AQ18">
        <v>-1.7867999999999999</v>
      </c>
      <c r="AR18">
        <v>46.544599999999996</v>
      </c>
      <c r="AS18">
        <v>42.421000000000021</v>
      </c>
      <c r="AT18">
        <v>11.225799999999998</v>
      </c>
      <c r="AU18">
        <v>10.099599999999995</v>
      </c>
      <c r="AV18">
        <v>0.29219999999999996</v>
      </c>
      <c r="AW18">
        <v>3.8450999999999969</v>
      </c>
      <c r="AX18">
        <v>4.1468999999999996</v>
      </c>
      <c r="AY18">
        <v>8.1757999999999988</v>
      </c>
    </row>
    <row r="19" spans="1:51" x14ac:dyDescent="0.25">
      <c r="A19">
        <v>2007</v>
      </c>
      <c r="B19">
        <v>4.2263999999999591</v>
      </c>
      <c r="C19">
        <v>-5.9339000000000368</v>
      </c>
      <c r="D19">
        <v>-1.7114000000000686</v>
      </c>
      <c r="E19">
        <v>-2.9665000000000958</v>
      </c>
      <c r="F19">
        <v>1.3221999999999809</v>
      </c>
      <c r="G19">
        <v>-0.12859999999987792</v>
      </c>
      <c r="H19">
        <v>-1.4361000000000672</v>
      </c>
      <c r="I19">
        <v>-0.17310000000006198</v>
      </c>
      <c r="J19">
        <v>0.90599999999994196</v>
      </c>
      <c r="K19">
        <v>5.3743000000000549</v>
      </c>
      <c r="L19">
        <v>-2.2453000000000287</v>
      </c>
      <c r="M19">
        <v>-2.5298000000000194</v>
      </c>
      <c r="N19">
        <v>-0.17390000000000194</v>
      </c>
      <c r="O19">
        <v>-1.1661999999999968</v>
      </c>
      <c r="P19">
        <v>3.3799999999994945E-2</v>
      </c>
      <c r="Q19">
        <v>2.767799999999994</v>
      </c>
      <c r="R19">
        <v>-3.1163000000000061</v>
      </c>
      <c r="S19">
        <v>-1.0399999999999894</v>
      </c>
      <c r="T19">
        <v>0.79224599999999246</v>
      </c>
      <c r="U19">
        <v>-1.963400000000008</v>
      </c>
      <c r="V19">
        <v>-2.3757999999999981</v>
      </c>
      <c r="W19">
        <v>-1.0815999999999919</v>
      </c>
      <c r="X19">
        <v>-0.41460000000000274</v>
      </c>
      <c r="Y19">
        <v>0.83640000000000381</v>
      </c>
      <c r="Z19">
        <v>-202.82350000000201</v>
      </c>
      <c r="AA19">
        <v>228.81909999999868</v>
      </c>
      <c r="AB19">
        <v>51.114100000000235</v>
      </c>
      <c r="AC19">
        <v>78.332100000000651</v>
      </c>
      <c r="AD19">
        <v>-43.720000000000027</v>
      </c>
      <c r="AE19">
        <v>-1.2499000000000393</v>
      </c>
      <c r="AF19">
        <v>-0.92810000000000326</v>
      </c>
      <c r="AG19">
        <v>-0.74249999999998106</v>
      </c>
      <c r="AH19">
        <v>-19.228399999999979</v>
      </c>
      <c r="AI19">
        <v>-157.96340000000015</v>
      </c>
      <c r="AJ19">
        <v>66.320300000001112</v>
      </c>
      <c r="AK19">
        <v>81.202100000000655</v>
      </c>
      <c r="AL19">
        <v>3.1739999999999853</v>
      </c>
      <c r="AM19">
        <v>-6.1283000000001522</v>
      </c>
      <c r="AN19">
        <v>-44.357300000000151</v>
      </c>
      <c r="AO19">
        <v>-16.893000000000342</v>
      </c>
      <c r="AP19">
        <v>7.1733000000000473</v>
      </c>
      <c r="AQ19">
        <v>11.1244</v>
      </c>
      <c r="AR19">
        <v>46.511199999999995</v>
      </c>
      <c r="AS19">
        <v>42.326000000000022</v>
      </c>
      <c r="AT19">
        <v>11.177099999999998</v>
      </c>
      <c r="AU19">
        <v>9.989199999999995</v>
      </c>
      <c r="AV19">
        <v>0.28969999999999996</v>
      </c>
      <c r="AW19">
        <v>3.8226999999999967</v>
      </c>
      <c r="AX19">
        <v>4.1726999999999999</v>
      </c>
      <c r="AY19">
        <v>8.1338999999999988</v>
      </c>
    </row>
    <row r="20" spans="1:51" x14ac:dyDescent="0.25">
      <c r="A20">
        <v>2008</v>
      </c>
      <c r="B20">
        <v>2.5355999999999561</v>
      </c>
      <c r="C20">
        <v>0.54839999999996181</v>
      </c>
      <c r="D20">
        <v>-0.33160000000007273</v>
      </c>
      <c r="E20">
        <v>1.8029999999999049</v>
      </c>
      <c r="F20">
        <v>-3.2262000000000199</v>
      </c>
      <c r="G20">
        <v>1.826600000000127</v>
      </c>
      <c r="H20">
        <v>0.90559999999992158</v>
      </c>
      <c r="I20">
        <v>-2.7224000000000643</v>
      </c>
      <c r="J20">
        <v>-0.50900000000005718</v>
      </c>
      <c r="K20">
        <v>-2.5347999999999402</v>
      </c>
      <c r="L20">
        <v>-1.6982000000000284</v>
      </c>
      <c r="M20">
        <v>-0.6442000000000192</v>
      </c>
      <c r="N20">
        <v>-1.157300000000002</v>
      </c>
      <c r="O20">
        <v>5.1607000000000038</v>
      </c>
      <c r="P20">
        <v>0.28139999999999432</v>
      </c>
      <c r="Q20">
        <v>-2.2545000000000064</v>
      </c>
      <c r="R20">
        <v>-2.356400000000006</v>
      </c>
      <c r="S20">
        <v>9.2300000000011373E-2</v>
      </c>
      <c r="T20">
        <v>1.5122439999999919</v>
      </c>
      <c r="U20">
        <v>-0.27390000000000825</v>
      </c>
      <c r="V20">
        <v>4.8732000000000024</v>
      </c>
      <c r="W20">
        <v>-1.8325999999999913</v>
      </c>
      <c r="X20">
        <v>0.16099999999999692</v>
      </c>
      <c r="Y20">
        <v>2.7583000000000037</v>
      </c>
      <c r="Z20">
        <v>-158.85400000000209</v>
      </c>
      <c r="AA20">
        <v>49.592399999998634</v>
      </c>
      <c r="AB20">
        <v>0.57240000000024338</v>
      </c>
      <c r="AC20">
        <v>-58.075599999999326</v>
      </c>
      <c r="AD20">
        <v>77.249999999999972</v>
      </c>
      <c r="AE20">
        <v>-17.677600000000041</v>
      </c>
      <c r="AF20">
        <v>-1.8886000000000032</v>
      </c>
      <c r="AG20">
        <v>13.514000000000019</v>
      </c>
      <c r="AH20">
        <v>2.2224000000000217</v>
      </c>
      <c r="AI20">
        <v>72.572399999999845</v>
      </c>
      <c r="AJ20">
        <v>53.829200000001151</v>
      </c>
      <c r="AK20">
        <v>19.724400000000628</v>
      </c>
      <c r="AL20">
        <v>-15.116100000000015</v>
      </c>
      <c r="AM20">
        <v>40.131799999999842</v>
      </c>
      <c r="AN20">
        <v>22.902799999999843</v>
      </c>
      <c r="AO20">
        <v>-79.592000000000354</v>
      </c>
      <c r="AP20">
        <v>-11.28079999999995</v>
      </c>
      <c r="AQ20">
        <v>-1.9643999999999999</v>
      </c>
      <c r="AR20">
        <v>46.477799999999995</v>
      </c>
      <c r="AS20">
        <v>42.231000000000023</v>
      </c>
      <c r="AT20">
        <v>11.128399999999997</v>
      </c>
      <c r="AU20">
        <v>9.8787999999999947</v>
      </c>
      <c r="AV20">
        <v>0.28719999999999996</v>
      </c>
      <c r="AW20">
        <v>3.8002999999999965</v>
      </c>
      <c r="AX20">
        <v>4.1985000000000001</v>
      </c>
      <c r="AY20">
        <v>8.0919999999999987</v>
      </c>
    </row>
    <row r="21" spans="1:51" x14ac:dyDescent="0.25">
      <c r="A21">
        <v>2009</v>
      </c>
      <c r="B21">
        <v>-6.2552000000000447</v>
      </c>
      <c r="C21">
        <v>0.930699999999959</v>
      </c>
      <c r="D21">
        <v>-5.1800000000078228E-2</v>
      </c>
      <c r="E21">
        <v>1.4724999999998971</v>
      </c>
      <c r="F21">
        <v>-0.57460000000002509</v>
      </c>
      <c r="G21">
        <v>-2.8181999999998624</v>
      </c>
      <c r="H21">
        <v>-3.7527000000000754</v>
      </c>
      <c r="I21">
        <v>1.128299999999939</v>
      </c>
      <c r="J21">
        <v>-2.9240000000000563</v>
      </c>
      <c r="K21">
        <v>-3.1438999999999382</v>
      </c>
      <c r="L21">
        <v>3.7488999999999706</v>
      </c>
      <c r="M21">
        <v>-2.858600000000024</v>
      </c>
      <c r="N21">
        <v>-0.61070000000000224</v>
      </c>
      <c r="O21">
        <v>-1.7023999999999964</v>
      </c>
      <c r="P21">
        <v>-2.9010000000000056</v>
      </c>
      <c r="Q21">
        <v>-1.9168000000000065</v>
      </c>
      <c r="R21">
        <v>-1.1265000000000063</v>
      </c>
      <c r="S21">
        <v>2.3246000000000118</v>
      </c>
      <c r="T21">
        <v>4.6722419999999918</v>
      </c>
      <c r="U21">
        <v>-0.47440000000000904</v>
      </c>
      <c r="V21">
        <v>-2.227799999999998</v>
      </c>
      <c r="W21">
        <v>1.176400000000009</v>
      </c>
      <c r="X21">
        <v>-0.70340000000000291</v>
      </c>
      <c r="Y21">
        <v>1.3002000000000038</v>
      </c>
      <c r="Z21">
        <v>111.11549999999784</v>
      </c>
      <c r="AA21">
        <v>41.365699999998583</v>
      </c>
      <c r="AB21">
        <v>3.0307000000002517</v>
      </c>
      <c r="AC21">
        <v>-53.483299999999304</v>
      </c>
      <c r="AD21">
        <v>5.2199999999999704</v>
      </c>
      <c r="AE21">
        <v>36.894699999999958</v>
      </c>
      <c r="AF21">
        <v>9.1508999999999965</v>
      </c>
      <c r="AG21">
        <v>-5.2294999999999812</v>
      </c>
      <c r="AH21">
        <v>46.673200000000023</v>
      </c>
      <c r="AI21">
        <v>88.10819999999984</v>
      </c>
      <c r="AJ21">
        <v>-110.66189999999881</v>
      </c>
      <c r="AK21">
        <v>90.246700000000601</v>
      </c>
      <c r="AL21">
        <v>-5.4062000000000161</v>
      </c>
      <c r="AM21">
        <v>-50.608100000000164</v>
      </c>
      <c r="AN21">
        <v>-105.83710000000016</v>
      </c>
      <c r="AO21">
        <v>23.708999999999634</v>
      </c>
      <c r="AP21">
        <v>-36.734899999999946</v>
      </c>
      <c r="AQ21">
        <v>-2.0531999999999999</v>
      </c>
      <c r="AR21">
        <v>46.444399999999995</v>
      </c>
      <c r="AS21">
        <v>42.136000000000024</v>
      </c>
      <c r="AT21">
        <v>11.079699999999997</v>
      </c>
      <c r="AU21">
        <v>9.7683999999999944</v>
      </c>
      <c r="AV21">
        <v>0.28469999999999995</v>
      </c>
      <c r="AW21">
        <v>3.7778999999999963</v>
      </c>
      <c r="AX21">
        <v>4.2243000000000004</v>
      </c>
      <c r="AY21">
        <v>8.0500999999999987</v>
      </c>
    </row>
    <row r="22" spans="1:51" x14ac:dyDescent="0.25">
      <c r="A22">
        <v>2010</v>
      </c>
      <c r="B22">
        <v>-0.34600000000004627</v>
      </c>
      <c r="C22">
        <v>0.51299999999995904</v>
      </c>
      <c r="D22">
        <v>6.127999999999922</v>
      </c>
      <c r="E22">
        <v>4.1419999999998964</v>
      </c>
      <c r="F22">
        <v>2.4769999999999754</v>
      </c>
      <c r="G22">
        <v>2.0370000000001482</v>
      </c>
      <c r="H22">
        <v>2.5889999999999134</v>
      </c>
      <c r="I22">
        <v>0.37899999999993383</v>
      </c>
      <c r="J22">
        <v>1.560999999999936</v>
      </c>
      <c r="K22">
        <v>4.7000000000060993E-2</v>
      </c>
      <c r="L22">
        <v>-0.40400000000003189</v>
      </c>
      <c r="M22">
        <v>-4.8730000000000295</v>
      </c>
      <c r="N22">
        <v>-0.67410000000000236</v>
      </c>
      <c r="O22">
        <v>1.3245000000000036</v>
      </c>
      <c r="P22">
        <v>4.6765999999999934</v>
      </c>
      <c r="Q22">
        <v>-4.1991000000000067</v>
      </c>
      <c r="R22">
        <v>-2.1166000000000067</v>
      </c>
      <c r="S22">
        <v>-1.2730999999999884</v>
      </c>
      <c r="T22">
        <v>-0.61776000000000897</v>
      </c>
      <c r="U22">
        <v>-0.66490000000000915</v>
      </c>
      <c r="V22">
        <v>-1.6087999999999978</v>
      </c>
      <c r="W22">
        <v>0.53540000000000898</v>
      </c>
      <c r="X22">
        <v>2.1999999999966491E-3</v>
      </c>
      <c r="Y22">
        <v>0.34210000000000296</v>
      </c>
      <c r="Z22">
        <v>-66.915000000002237</v>
      </c>
      <c r="AA22">
        <v>57.138999999998532</v>
      </c>
      <c r="AB22">
        <v>-190.51099999999974</v>
      </c>
      <c r="AC22">
        <v>-132.89099999999928</v>
      </c>
      <c r="AD22">
        <v>-72.810000000000031</v>
      </c>
      <c r="AE22">
        <v>-17.533000000000044</v>
      </c>
      <c r="AF22">
        <v>-1.809600000000003</v>
      </c>
      <c r="AG22">
        <v>-1.9729999999999812</v>
      </c>
      <c r="AH22">
        <v>-28.875999999999976</v>
      </c>
      <c r="AI22">
        <v>-11.356000000000165</v>
      </c>
      <c r="AJ22">
        <v>8.8470000000012305</v>
      </c>
      <c r="AK22">
        <v>153.76900000000057</v>
      </c>
      <c r="AL22">
        <v>12.303699999999983</v>
      </c>
      <c r="AM22">
        <v>46.65199999999983</v>
      </c>
      <c r="AN22">
        <v>79.422999999999831</v>
      </c>
      <c r="AO22">
        <v>3.0099999999996214</v>
      </c>
      <c r="AP22">
        <v>19.811000000000057</v>
      </c>
      <c r="AQ22">
        <v>-2.1419999999999999</v>
      </c>
      <c r="AR22">
        <v>46.410999999999994</v>
      </c>
      <c r="AS22">
        <v>42.041000000000025</v>
      </c>
      <c r="AT22">
        <v>11.030999999999997</v>
      </c>
      <c r="AU22">
        <v>9.6579999999999941</v>
      </c>
      <c r="AV22">
        <v>0.28219999999999995</v>
      </c>
      <c r="AW22">
        <v>3.7554999999999961</v>
      </c>
      <c r="AX22">
        <v>4.2501000000000007</v>
      </c>
      <c r="AY22">
        <v>8.0081999999999987</v>
      </c>
    </row>
    <row r="23" spans="1:51" x14ac:dyDescent="0.25">
      <c r="A23">
        <v>2011</v>
      </c>
      <c r="B23">
        <v>-4.2368000000000485</v>
      </c>
      <c r="C23">
        <v>-2.2047000000000416</v>
      </c>
      <c r="D23">
        <v>0.10779999999991929</v>
      </c>
      <c r="E23">
        <v>1.0114999999998915</v>
      </c>
      <c r="F23">
        <v>1.2285999999999788</v>
      </c>
      <c r="G23">
        <v>-7.7999999998468184E-3</v>
      </c>
      <c r="H23">
        <v>1.5306999999999107</v>
      </c>
      <c r="I23">
        <v>0.12969999999992865</v>
      </c>
      <c r="J23">
        <v>2.2459999999999525</v>
      </c>
      <c r="K23">
        <v>0.53790000000006444</v>
      </c>
      <c r="L23">
        <v>3.5430999999999671</v>
      </c>
      <c r="M23">
        <v>3.7125999999999664</v>
      </c>
      <c r="N23">
        <v>-0.2575000000000025</v>
      </c>
      <c r="O23">
        <v>0.65140000000000375</v>
      </c>
      <c r="P23">
        <v>-0.55580000000000584</v>
      </c>
      <c r="Q23">
        <v>-0.41140000000000754</v>
      </c>
      <c r="R23">
        <v>-0.20670000000000677</v>
      </c>
      <c r="S23">
        <v>1.4992000000000125</v>
      </c>
      <c r="T23">
        <v>-1.9777620000000091</v>
      </c>
      <c r="U23">
        <v>7.3045999999999909</v>
      </c>
      <c r="V23">
        <v>3.5302000000000024</v>
      </c>
      <c r="W23">
        <v>0.63440000000000918</v>
      </c>
      <c r="X23">
        <v>0.25779999999999648</v>
      </c>
      <c r="Y23">
        <v>0.28400000000000336</v>
      </c>
      <c r="Z23">
        <v>48.054499999997688</v>
      </c>
      <c r="AA23">
        <v>130.91229999999848</v>
      </c>
      <c r="AB23">
        <v>-9.0526999999997315</v>
      </c>
      <c r="AC23">
        <v>-41.298699999999258</v>
      </c>
      <c r="AD23">
        <v>-41.840000000000032</v>
      </c>
      <c r="AE23">
        <v>-2.9607000000000454</v>
      </c>
      <c r="AF23">
        <v>-1.7701000000000029</v>
      </c>
      <c r="AG23">
        <v>-1.7164999999999813</v>
      </c>
      <c r="AH23">
        <v>-37.425199999999975</v>
      </c>
      <c r="AI23">
        <v>-29.82020000000017</v>
      </c>
      <c r="AJ23">
        <v>-106.64409999999873</v>
      </c>
      <c r="AK23">
        <v>-115.70869999999945</v>
      </c>
      <c r="AL23">
        <v>3.0135999999999825</v>
      </c>
      <c r="AM23">
        <v>-8.7900000000175282E-2</v>
      </c>
      <c r="AN23">
        <v>47.683099999999826</v>
      </c>
      <c r="AO23">
        <v>-0.68900000000039086</v>
      </c>
      <c r="AP23">
        <v>31.35690000000006</v>
      </c>
      <c r="AQ23">
        <v>-2.2307999999999999</v>
      </c>
      <c r="AR23">
        <v>46.377599999999994</v>
      </c>
      <c r="AS23">
        <v>41.946000000000026</v>
      </c>
      <c r="AT23">
        <v>10.982299999999997</v>
      </c>
      <c r="AU23">
        <v>9.5475999999999939</v>
      </c>
      <c r="AV23">
        <v>0.27969999999999995</v>
      </c>
      <c r="AW23">
        <v>3.7330999999999959</v>
      </c>
      <c r="AX23">
        <v>4.2759000000000009</v>
      </c>
      <c r="AY23">
        <v>7.9662999999999986</v>
      </c>
    </row>
    <row r="24" spans="1:51" x14ac:dyDescent="0.25">
      <c r="A24">
        <v>2012</v>
      </c>
      <c r="B24">
        <v>4.1723999999999499</v>
      </c>
      <c r="C24">
        <v>5.6775999999999556</v>
      </c>
      <c r="D24">
        <v>8.8875999999999138</v>
      </c>
      <c r="E24">
        <v>1.7809999999998922</v>
      </c>
      <c r="F24">
        <v>3.0801999999999765</v>
      </c>
      <c r="G24">
        <v>-0.55259999999984188</v>
      </c>
      <c r="H24">
        <v>1.472399999999908</v>
      </c>
      <c r="I24">
        <v>1.2803999999999292</v>
      </c>
      <c r="J24">
        <v>-0.96900000000005093</v>
      </c>
      <c r="K24">
        <v>1.7288000000000707</v>
      </c>
      <c r="L24">
        <v>-3.009800000000034</v>
      </c>
      <c r="M24">
        <v>2.598199999999963</v>
      </c>
      <c r="N24">
        <v>-0.76090000000000257</v>
      </c>
      <c r="O24">
        <v>-2.1016999999999957</v>
      </c>
      <c r="P24">
        <v>-4.0182000000000064</v>
      </c>
      <c r="Q24">
        <v>-2.9637000000000073</v>
      </c>
      <c r="R24">
        <v>-1.1568000000000072</v>
      </c>
      <c r="S24">
        <v>-0.36849999999998762</v>
      </c>
      <c r="T24">
        <v>-0.36776400000000953</v>
      </c>
      <c r="U24">
        <v>-0.41590000000000993</v>
      </c>
      <c r="V24">
        <v>1.1392000000000024</v>
      </c>
      <c r="W24">
        <v>-0.63659999999998984</v>
      </c>
      <c r="X24">
        <v>-2.4466000000000037</v>
      </c>
      <c r="Y24">
        <v>0.42590000000000305</v>
      </c>
      <c r="Z24">
        <v>-218.97600000000239</v>
      </c>
      <c r="AA24">
        <v>-85.314400000001569</v>
      </c>
      <c r="AB24">
        <v>-270.59439999999972</v>
      </c>
      <c r="AC24">
        <v>-68.706399999999235</v>
      </c>
      <c r="AD24">
        <v>-82.870000000000033</v>
      </c>
      <c r="AE24">
        <v>3.6115999999999531</v>
      </c>
      <c r="AF24">
        <v>-1.7306000000000028</v>
      </c>
      <c r="AG24">
        <v>-4.4599999999999813</v>
      </c>
      <c r="AH24">
        <v>7.0256000000000256</v>
      </c>
      <c r="AI24">
        <v>-63.284400000000176</v>
      </c>
      <c r="AJ24">
        <v>94.86480000000131</v>
      </c>
      <c r="AK24">
        <v>-80.18639999999948</v>
      </c>
      <c r="AL24">
        <v>16.723499999999984</v>
      </c>
      <c r="AM24">
        <v>-10.827800000000181</v>
      </c>
      <c r="AN24">
        <v>40.94319999999982</v>
      </c>
      <c r="AO24">
        <v>30.611999999999597</v>
      </c>
      <c r="AP24">
        <v>-15.097199999999937</v>
      </c>
      <c r="AQ24">
        <v>-0.31959999999999988</v>
      </c>
      <c r="AR24">
        <v>46.344199999999994</v>
      </c>
      <c r="AS24">
        <v>41.851000000000028</v>
      </c>
      <c r="AT24">
        <v>10.933599999999997</v>
      </c>
      <c r="AU24">
        <v>9.4371999999999936</v>
      </c>
      <c r="AV24">
        <v>0.27719999999999995</v>
      </c>
      <c r="AW24">
        <v>3.7106999999999957</v>
      </c>
      <c r="AX24">
        <v>4.3017000000000012</v>
      </c>
      <c r="AY24">
        <v>7.9243999999999986</v>
      </c>
    </row>
    <row r="25" spans="1:51" x14ac:dyDescent="0.25">
      <c r="A25">
        <v>2013</v>
      </c>
      <c r="B25">
        <v>1.1815999999999498</v>
      </c>
      <c r="C25">
        <v>-0.14010000000004652</v>
      </c>
      <c r="D25">
        <v>-0.93260000000008603</v>
      </c>
      <c r="E25">
        <v>-0.64950000000011698</v>
      </c>
      <c r="F25">
        <v>-0.36820000000002295</v>
      </c>
      <c r="G25">
        <v>0.70260000000016021</v>
      </c>
      <c r="H25">
        <v>3.2140999999999167</v>
      </c>
      <c r="I25">
        <v>-2.0689000000000703</v>
      </c>
      <c r="J25">
        <v>-2.9840000000000444</v>
      </c>
      <c r="K25">
        <v>0.31970000000006848</v>
      </c>
      <c r="L25">
        <v>-2.6627000000000365</v>
      </c>
      <c r="M25">
        <v>-2.416200000000039</v>
      </c>
      <c r="N25">
        <v>-1.9043000000000025</v>
      </c>
      <c r="O25">
        <v>0.42520000000000424</v>
      </c>
      <c r="P25">
        <v>-2.9906000000000064</v>
      </c>
      <c r="Q25">
        <v>-4.5060000000000073</v>
      </c>
      <c r="R25">
        <v>-0.64690000000000758</v>
      </c>
      <c r="S25">
        <v>5.9138000000000126</v>
      </c>
      <c r="T25">
        <v>-0.47776600000000968</v>
      </c>
      <c r="U25">
        <v>-0.35640000000001049</v>
      </c>
      <c r="V25">
        <v>-1.4517999999999978</v>
      </c>
      <c r="W25">
        <v>-3.6675999999999895</v>
      </c>
      <c r="X25">
        <v>0.51899999999999658</v>
      </c>
      <c r="Y25">
        <v>-0.65219999999999745</v>
      </c>
      <c r="Z25">
        <v>-129.00650000000246</v>
      </c>
      <c r="AA25">
        <v>80.45889999999838</v>
      </c>
      <c r="AB25">
        <v>21.863900000000285</v>
      </c>
      <c r="AC25">
        <v>4.8859000000007882</v>
      </c>
      <c r="AD25">
        <v>-1.9000000000000341</v>
      </c>
      <c r="AE25">
        <v>-7.8161000000000485</v>
      </c>
      <c r="AF25">
        <v>-1.6911000000000027</v>
      </c>
      <c r="AG25">
        <v>8.7965000000000195</v>
      </c>
      <c r="AH25">
        <v>44.476400000000027</v>
      </c>
      <c r="AI25">
        <v>-26.748600000000181</v>
      </c>
      <c r="AJ25">
        <v>78.37370000000135</v>
      </c>
      <c r="AK25">
        <v>72.335900000000493</v>
      </c>
      <c r="AL25">
        <v>-5.5666000000000153</v>
      </c>
      <c r="AM25">
        <v>14.432299999999813</v>
      </c>
      <c r="AN25">
        <v>97.203299999999814</v>
      </c>
      <c r="AO25">
        <v>-65.087000000000415</v>
      </c>
      <c r="AP25">
        <v>-39.551299999999934</v>
      </c>
      <c r="AQ25">
        <v>-2.4083999999999999</v>
      </c>
      <c r="AR25">
        <v>46.310799999999993</v>
      </c>
      <c r="AS25">
        <v>41.756000000000029</v>
      </c>
      <c r="AT25">
        <v>10.884899999999996</v>
      </c>
      <c r="AU25">
        <v>9.3267999999999933</v>
      </c>
      <c r="AV25">
        <v>0.27469999999999994</v>
      </c>
      <c r="AW25">
        <v>3.6882999999999955</v>
      </c>
      <c r="AX25">
        <v>4.3275000000000015</v>
      </c>
      <c r="AY25">
        <v>7.8824999999999985</v>
      </c>
    </row>
    <row r="26" spans="1:51" x14ac:dyDescent="0.25">
      <c r="A26">
        <v>2014</v>
      </c>
      <c r="B26">
        <v>-4.109200000000051</v>
      </c>
      <c r="C26">
        <v>-4.3578000000000472</v>
      </c>
      <c r="D26">
        <v>-6.3528000000000873</v>
      </c>
      <c r="E26">
        <v>-1.2800000000001148</v>
      </c>
      <c r="F26">
        <v>-0.31660000000002952</v>
      </c>
      <c r="G26">
        <v>-0.24219999999984054</v>
      </c>
      <c r="H26">
        <v>-0.84420000000008599</v>
      </c>
      <c r="I26">
        <v>-2.4182000000000698</v>
      </c>
      <c r="J26">
        <v>-0.89900000000003644</v>
      </c>
      <c r="K26">
        <v>0.91060000000007335</v>
      </c>
      <c r="L26">
        <v>-2.8156000000000319</v>
      </c>
      <c r="M26">
        <v>1.8693999999999562</v>
      </c>
      <c r="N26">
        <v>-0.82770000000000277</v>
      </c>
      <c r="O26">
        <v>0.22210000000000418</v>
      </c>
      <c r="P26">
        <v>-1.1430000000000069</v>
      </c>
      <c r="Q26">
        <v>-1.6483000000000079</v>
      </c>
      <c r="R26">
        <v>-0.34700000000000752</v>
      </c>
      <c r="S26">
        <v>-2.2938999999999865</v>
      </c>
      <c r="T26">
        <v>0.69223199999998997</v>
      </c>
      <c r="U26">
        <v>-1.236900000000011</v>
      </c>
      <c r="V26">
        <v>-2.9227999999999978</v>
      </c>
      <c r="W26">
        <v>-0.38859999999998962</v>
      </c>
      <c r="X26">
        <v>1.0445999999999964</v>
      </c>
      <c r="Y26">
        <v>0.5497000000000023</v>
      </c>
      <c r="Z26">
        <v>32.962999999997464</v>
      </c>
      <c r="AA26">
        <v>197.23219999999833</v>
      </c>
      <c r="AB26">
        <v>184.32220000000029</v>
      </c>
      <c r="AC26">
        <v>26.478200000000811</v>
      </c>
      <c r="AD26">
        <v>-7.9300000000000352</v>
      </c>
      <c r="AE26">
        <v>0.75619999999995002</v>
      </c>
      <c r="AF26">
        <v>-1.6516000000000026</v>
      </c>
      <c r="AG26">
        <v>11.053000000000019</v>
      </c>
      <c r="AH26">
        <v>3.9272000000000276</v>
      </c>
      <c r="AI26">
        <v>-44.212800000000186</v>
      </c>
      <c r="AJ26">
        <v>83.882600000001389</v>
      </c>
      <c r="AK26">
        <v>-54.141799999999535</v>
      </c>
      <c r="AL26">
        <v>-3.8567000000000142</v>
      </c>
      <c r="AM26">
        <v>-6.3076000000001926</v>
      </c>
      <c r="AN26">
        <v>-24.536600000000192</v>
      </c>
      <c r="AO26">
        <v>-73.786000000000428</v>
      </c>
      <c r="AP26">
        <v>-14.005399999999938</v>
      </c>
      <c r="AQ26">
        <v>-0.49719999999999986</v>
      </c>
      <c r="AR26">
        <v>46.277399999999993</v>
      </c>
      <c r="AS26">
        <v>41.66100000000003</v>
      </c>
      <c r="AT26">
        <v>10.836199999999996</v>
      </c>
      <c r="AU26">
        <v>9.216399999999993</v>
      </c>
      <c r="AV26">
        <v>0.27219999999999994</v>
      </c>
      <c r="AW26">
        <v>3.6658999999999953</v>
      </c>
      <c r="AX26">
        <v>4.3533000000000017</v>
      </c>
      <c r="AY26">
        <v>7.8405999999999985</v>
      </c>
    </row>
    <row r="27" spans="1:51" x14ac:dyDescent="0.25">
      <c r="A27">
        <v>2015</v>
      </c>
      <c r="B27">
        <v>-4.5000000000000533</v>
      </c>
      <c r="C27">
        <v>-13.575500000000048</v>
      </c>
      <c r="D27">
        <v>-5.9730000000000913</v>
      </c>
      <c r="E27">
        <v>-1.0105000000001212</v>
      </c>
      <c r="F27">
        <v>4.0349999999999753</v>
      </c>
      <c r="G27">
        <v>-1.7869999999998356</v>
      </c>
      <c r="H27">
        <v>-0.60250000000009152</v>
      </c>
      <c r="I27">
        <v>1.1324999999999221</v>
      </c>
      <c r="J27">
        <v>3.1859999999999644</v>
      </c>
      <c r="K27">
        <v>-1.8984999999999275</v>
      </c>
      <c r="L27">
        <v>3.5314999999999657</v>
      </c>
      <c r="M27">
        <v>9.8549999999999542</v>
      </c>
      <c r="N27">
        <v>-0.16110000000000246</v>
      </c>
      <c r="O27">
        <v>-1.1909999999999958</v>
      </c>
      <c r="P27">
        <v>-2.335400000000007</v>
      </c>
      <c r="Q27">
        <v>-3.3206000000000078</v>
      </c>
      <c r="R27">
        <v>-3.9471000000000078</v>
      </c>
      <c r="S27">
        <v>1.6284000000000134</v>
      </c>
      <c r="T27">
        <v>-1.3377700000000101</v>
      </c>
      <c r="U27">
        <v>-2.1574000000000111</v>
      </c>
      <c r="V27">
        <v>-0.71379999999999733</v>
      </c>
      <c r="W27">
        <v>-1.7795999999999892</v>
      </c>
      <c r="X27">
        <v>-0.81980000000000386</v>
      </c>
      <c r="Y27">
        <v>-0.21839999999999815</v>
      </c>
      <c r="Z27">
        <v>38.93249999999739</v>
      </c>
      <c r="AA27">
        <v>456.00549999999828</v>
      </c>
      <c r="AB27">
        <v>176.7805000000003</v>
      </c>
      <c r="AC27">
        <v>14.070500000000834</v>
      </c>
      <c r="AD27">
        <v>-97.960000000000036</v>
      </c>
      <c r="AE27">
        <v>19.328499999999948</v>
      </c>
      <c r="AF27">
        <v>-1.6121000000000025</v>
      </c>
      <c r="AG27">
        <v>-3.6904999999999815</v>
      </c>
      <c r="AH27">
        <v>-45.621999999999971</v>
      </c>
      <c r="AI27">
        <v>34.322999999999809</v>
      </c>
      <c r="AJ27">
        <v>-104.60849999999857</v>
      </c>
      <c r="AK27">
        <v>-303.61949999999956</v>
      </c>
      <c r="AL27">
        <v>25.853199999999987</v>
      </c>
      <c r="AM27">
        <v>-33.047500000000198</v>
      </c>
      <c r="AN27">
        <v>-15.276500000000169</v>
      </c>
      <c r="AO27">
        <v>25.51499999999956</v>
      </c>
      <c r="AP27">
        <v>54.540500000000065</v>
      </c>
      <c r="AQ27">
        <v>-2.5859999999999999</v>
      </c>
      <c r="AR27">
        <v>46.243999999999993</v>
      </c>
      <c r="AS27">
        <v>41.566000000000031</v>
      </c>
      <c r="AT27">
        <v>10.787499999999996</v>
      </c>
      <c r="AU27">
        <v>9.1059999999999928</v>
      </c>
      <c r="AV27">
        <v>0.26969999999999994</v>
      </c>
      <c r="AW27">
        <v>3.6434999999999951</v>
      </c>
      <c r="AX27">
        <v>4.379100000000002</v>
      </c>
      <c r="AY27">
        <v>7.7986999999999984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27"/>
  <sheetViews>
    <sheetView topLeftCell="AG1" workbookViewId="0">
      <selection activeCell="AR1" sqref="AR1"/>
    </sheetView>
  </sheetViews>
  <sheetFormatPr defaultRowHeight="15" x14ac:dyDescent="0.25"/>
  <cols>
    <col min="44" max="44" width="12.140625" bestFit="1" customWidth="1"/>
    <col min="45" max="45" width="12" bestFit="1" customWidth="1"/>
    <col min="46" max="46" width="12.7109375" bestFit="1" customWidth="1"/>
    <col min="47" max="51" width="12" bestFit="1" customWidth="1"/>
  </cols>
  <sheetData>
    <row r="1" spans="1:51" x14ac:dyDescent="0.25">
      <c r="A1" t="s">
        <v>51</v>
      </c>
      <c r="B1" t="s">
        <v>0</v>
      </c>
      <c r="C1" t="s">
        <v>1</v>
      </c>
      <c r="D1" t="s">
        <v>2</v>
      </c>
      <c r="E1" t="s">
        <v>20</v>
      </c>
      <c r="F1" t="s">
        <v>19</v>
      </c>
      <c r="G1" t="s">
        <v>6</v>
      </c>
      <c r="H1" t="s">
        <v>7</v>
      </c>
      <c r="I1" t="s">
        <v>8</v>
      </c>
      <c r="J1" t="s">
        <v>21</v>
      </c>
      <c r="K1" t="s">
        <v>22</v>
      </c>
      <c r="L1" t="s">
        <v>23</v>
      </c>
      <c r="M1" t="s">
        <v>11</v>
      </c>
      <c r="N1" t="s">
        <v>3</v>
      </c>
      <c r="O1" t="s">
        <v>4</v>
      </c>
      <c r="P1" t="s">
        <v>5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43</v>
      </c>
      <c r="AI1" t="s">
        <v>42</v>
      </c>
      <c r="AJ1" t="s">
        <v>41</v>
      </c>
      <c r="AK1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t="s">
        <v>9</v>
      </c>
      <c r="AS1" t="s">
        <v>10</v>
      </c>
      <c r="AT1" t="s">
        <v>12</v>
      </c>
      <c r="AU1" t="s">
        <v>13</v>
      </c>
      <c r="AV1" t="s">
        <v>15</v>
      </c>
      <c r="AW1" t="s">
        <v>16</v>
      </c>
      <c r="AX1" t="s">
        <v>17</v>
      </c>
      <c r="AY1" t="s">
        <v>18</v>
      </c>
    </row>
    <row r="2" spans="1:51" x14ac:dyDescent="0.25">
      <c r="A2">
        <v>1990</v>
      </c>
      <c r="B2">
        <v>8.7699999999999818</v>
      </c>
      <c r="C2">
        <v>3.6669999999999874</v>
      </c>
      <c r="D2">
        <v>2.1319999999999766</v>
      </c>
      <c r="E2">
        <v>-4.8000000000030241E-2</v>
      </c>
      <c r="F2">
        <v>-2.855000000000004</v>
      </c>
      <c r="G2">
        <v>0.53300000000004388</v>
      </c>
      <c r="H2">
        <v>0.15499999999997272</v>
      </c>
      <c r="I2">
        <v>0.86499999999998067</v>
      </c>
      <c r="J2">
        <v>-0.43900000000002137</v>
      </c>
      <c r="K2">
        <v>5.3290000000000219</v>
      </c>
      <c r="L2">
        <v>2.2539999999999907</v>
      </c>
      <c r="M2">
        <v>5.5150000000000006</v>
      </c>
      <c r="N2">
        <v>1.3538999999999994</v>
      </c>
      <c r="O2">
        <v>0.16650000000000142</v>
      </c>
      <c r="P2">
        <v>-2.0954000000000019</v>
      </c>
      <c r="Q2">
        <v>-0.37310000000000265</v>
      </c>
      <c r="R2">
        <v>2.8553999999999977</v>
      </c>
      <c r="S2">
        <v>-1.9690999999999961</v>
      </c>
      <c r="T2">
        <v>-0.76772000000000329</v>
      </c>
      <c r="U2">
        <v>4.0550999999999986</v>
      </c>
      <c r="V2">
        <v>-1.7887999999999993</v>
      </c>
      <c r="W2">
        <v>3.5454000000000034</v>
      </c>
      <c r="X2">
        <v>-1.6698000000000008</v>
      </c>
      <c r="Y2">
        <v>2.0341000000000027</v>
      </c>
      <c r="Z2">
        <v>-292.30500000000075</v>
      </c>
      <c r="AA2">
        <v>-77.327000000000453</v>
      </c>
      <c r="AB2">
        <v>-65.676999999999907</v>
      </c>
      <c r="AC2">
        <v>-0.73699999999973898</v>
      </c>
      <c r="AD2">
        <v>76.789999999999992</v>
      </c>
      <c r="AE2">
        <v>-9.9790000000000134</v>
      </c>
      <c r="AF2">
        <v>-2.5996000000000015</v>
      </c>
      <c r="AG2">
        <v>-6.1029999999999909</v>
      </c>
      <c r="AH2">
        <v>13.108000000000004</v>
      </c>
      <c r="AI2">
        <v>-132.07200000000006</v>
      </c>
      <c r="AJ2">
        <v>-63.330999999999563</v>
      </c>
      <c r="AK2">
        <v>-168.67699999999923</v>
      </c>
      <c r="AL2">
        <v>-9.894300000000003</v>
      </c>
      <c r="AM2">
        <v>4.449999999999946</v>
      </c>
      <c r="AN2">
        <v>1.2209999999999468</v>
      </c>
      <c r="AO2">
        <v>23.989999999999867</v>
      </c>
      <c r="AP2">
        <v>-6.1070000000000029</v>
      </c>
      <c r="AQ2">
        <v>6.6340000000000003</v>
      </c>
      <c r="AR2">
        <v>44.408780817796789</v>
      </c>
      <c r="AS2">
        <v>44.62589612483152</v>
      </c>
      <c r="AT2">
        <v>11.908703011635628</v>
      </c>
      <c r="AU2">
        <v>12.125818318670358</v>
      </c>
      <c r="AV2">
        <v>0.31416411044781756</v>
      </c>
      <c r="AW2">
        <v>3.8299410805436263</v>
      </c>
      <c r="AX2">
        <v>3.2318910674087045</v>
      </c>
      <c r="AY2">
        <v>8.2682086032633233</v>
      </c>
    </row>
    <row r="3" spans="1:51" x14ac:dyDescent="0.25">
      <c r="A3">
        <v>1991</v>
      </c>
      <c r="B3">
        <v>1.0791999999999824</v>
      </c>
      <c r="C3">
        <v>3.9492999999999832</v>
      </c>
      <c r="D3">
        <v>2.9117999999999711</v>
      </c>
      <c r="E3">
        <v>3.3214999999999648</v>
      </c>
      <c r="F3">
        <v>5.0965999999999951</v>
      </c>
      <c r="G3">
        <v>1.9882000000000488</v>
      </c>
      <c r="H3">
        <v>0.19669999999996435</v>
      </c>
      <c r="I3">
        <v>1.0156999999999812</v>
      </c>
      <c r="J3">
        <v>-1.0540000000000234</v>
      </c>
      <c r="K3">
        <v>2.3199000000000254</v>
      </c>
      <c r="L3">
        <v>0.80109999999999104</v>
      </c>
      <c r="M3">
        <v>2.200600000000005</v>
      </c>
      <c r="N3">
        <v>-0.6995000000000009</v>
      </c>
      <c r="O3">
        <v>-1.1265999999999985</v>
      </c>
      <c r="P3">
        <v>0.22219999999999818</v>
      </c>
      <c r="Q3">
        <v>-2.2354000000000029</v>
      </c>
      <c r="R3">
        <v>0.2052999999999976</v>
      </c>
      <c r="S3">
        <v>-2.5867999999999958</v>
      </c>
      <c r="T3">
        <v>-1.0077220000000033</v>
      </c>
      <c r="U3">
        <v>4.2945999999999982</v>
      </c>
      <c r="V3">
        <v>2.2102000000000008</v>
      </c>
      <c r="W3">
        <v>-1.3055999999999965</v>
      </c>
      <c r="X3">
        <v>-0.43420000000000059</v>
      </c>
      <c r="Y3">
        <v>-0.22399999999999753</v>
      </c>
      <c r="Z3">
        <v>-66.33550000000082</v>
      </c>
      <c r="AA3">
        <v>-85.553700000000504</v>
      </c>
      <c r="AB3">
        <v>-89.218699999999899</v>
      </c>
      <c r="AC3">
        <v>-101.14469999999972</v>
      </c>
      <c r="AD3">
        <v>-124.24000000000001</v>
      </c>
      <c r="AE3">
        <v>-22.406700000000015</v>
      </c>
      <c r="AF3">
        <v>-1.5601000000000016</v>
      </c>
      <c r="AG3">
        <v>-5.84649999999999</v>
      </c>
      <c r="AH3">
        <v>25.558800000000005</v>
      </c>
      <c r="AI3">
        <v>-46.536200000000065</v>
      </c>
      <c r="AJ3">
        <v>-22.822099999999523</v>
      </c>
      <c r="AK3">
        <v>-69.154699999999139</v>
      </c>
      <c r="AL3">
        <v>34.815599999999996</v>
      </c>
      <c r="AM3">
        <v>37.71009999999994</v>
      </c>
      <c r="AN3">
        <v>8.481099999999941</v>
      </c>
      <c r="AO3">
        <v>28.290999999999855</v>
      </c>
      <c r="AP3">
        <v>-11.561100000000003</v>
      </c>
      <c r="AQ3">
        <v>-0.45479999999999993</v>
      </c>
      <c r="AR3">
        <v>44.19188050607449</v>
      </c>
      <c r="AS3">
        <v>43.95194370501013</v>
      </c>
      <c r="AT3">
        <v>12.015808424267215</v>
      </c>
      <c r="AU3">
        <v>11.775871623202862</v>
      </c>
      <c r="AV3">
        <v>0.29979650810818426</v>
      </c>
      <c r="AW3">
        <v>3.6630819631086902</v>
      </c>
      <c r="AX3">
        <v>3.3621717792945982</v>
      </c>
      <c r="AY3">
        <v>8.0138234078982826</v>
      </c>
    </row>
    <row r="4" spans="1:51" x14ac:dyDescent="0.25">
      <c r="A4">
        <v>1992</v>
      </c>
      <c r="B4">
        <v>2.5883999999999823</v>
      </c>
      <c r="C4">
        <v>0.83159999999998391</v>
      </c>
      <c r="D4">
        <v>-2.9084000000000287</v>
      </c>
      <c r="E4">
        <v>-3.009000000000043</v>
      </c>
      <c r="F4">
        <v>-0.95180000000000575</v>
      </c>
      <c r="G4">
        <v>-1.7565999999999491</v>
      </c>
      <c r="H4">
        <v>-3.061600000000027</v>
      </c>
      <c r="I4">
        <v>-2.6336000000000297</v>
      </c>
      <c r="J4">
        <v>-0.76900000000001967</v>
      </c>
      <c r="K4">
        <v>-2.6891999999999712</v>
      </c>
      <c r="L4">
        <v>-1.6518000000000086</v>
      </c>
      <c r="M4">
        <v>-0.21379999999999555</v>
      </c>
      <c r="N4">
        <v>-0.86290000000000111</v>
      </c>
      <c r="O4">
        <v>-1.0196999999999985</v>
      </c>
      <c r="P4">
        <v>-0.55020000000000202</v>
      </c>
      <c r="Q4">
        <v>-2.5577000000000032</v>
      </c>
      <c r="R4">
        <v>-2.9448000000000025</v>
      </c>
      <c r="S4">
        <v>2.5655000000000046</v>
      </c>
      <c r="T4">
        <v>0.46227599999999658</v>
      </c>
      <c r="U4">
        <v>2.0840999999999976</v>
      </c>
      <c r="V4">
        <v>-0.33079999999999909</v>
      </c>
      <c r="W4">
        <v>-2.0265999999999962</v>
      </c>
      <c r="X4">
        <v>1.4813999999999989</v>
      </c>
      <c r="Y4">
        <v>1.9079000000000028</v>
      </c>
      <c r="Z4">
        <v>-113.36600000000089</v>
      </c>
      <c r="AA4">
        <v>2.2195999999994456</v>
      </c>
      <c r="AB4">
        <v>84.23960000000011</v>
      </c>
      <c r="AC4">
        <v>87.447600000000307</v>
      </c>
      <c r="AD4">
        <v>24.72999999999999</v>
      </c>
      <c r="AE4">
        <v>19.165599999999984</v>
      </c>
      <c r="AF4">
        <v>10.479399999999998</v>
      </c>
      <c r="AG4">
        <v>14.410000000000011</v>
      </c>
      <c r="AH4">
        <v>21.009600000000006</v>
      </c>
      <c r="AI4">
        <v>102.99959999999993</v>
      </c>
      <c r="AJ4">
        <v>49.686800000000517</v>
      </c>
      <c r="AK4">
        <v>2.3676000000009481</v>
      </c>
      <c r="AL4">
        <v>-3.4745000000000044</v>
      </c>
      <c r="AM4">
        <v>-31.029800000000066</v>
      </c>
      <c r="AN4">
        <v>-85.258800000000065</v>
      </c>
      <c r="AO4">
        <v>-65.408000000000158</v>
      </c>
      <c r="AP4">
        <v>-11.0152</v>
      </c>
      <c r="AQ4">
        <v>-0.54359999999999997</v>
      </c>
      <c r="AR4">
        <v>46.141380281769344</v>
      </c>
      <c r="AS4">
        <v>44.63046124308768</v>
      </c>
      <c r="AT4">
        <v>11.282675657441759</v>
      </c>
      <c r="AU4">
        <v>9.7717566187600919</v>
      </c>
      <c r="AV4">
        <v>0.33322890046984516</v>
      </c>
      <c r="AW4">
        <v>4.3133502626304345</v>
      </c>
      <c r="AX4">
        <v>3.619936236791744</v>
      </c>
      <c r="AY4">
        <v>9.4917512050479314</v>
      </c>
    </row>
    <row r="5" spans="1:51" x14ac:dyDescent="0.25">
      <c r="A5">
        <v>1993</v>
      </c>
      <c r="B5">
        <v>3.4975999999999807</v>
      </c>
      <c r="C5">
        <v>-5.8861000000000168</v>
      </c>
      <c r="D5">
        <v>-3.4286000000000314</v>
      </c>
      <c r="E5">
        <v>6.0499999999954923E-2</v>
      </c>
      <c r="F5">
        <v>1.5997999999999948</v>
      </c>
      <c r="G5">
        <v>0.19860000000005584</v>
      </c>
      <c r="H5">
        <v>0.98009999999996467</v>
      </c>
      <c r="I5">
        <v>1.4170999999999765</v>
      </c>
      <c r="J5">
        <v>-0.28400000000002734</v>
      </c>
      <c r="K5">
        <v>-2.0982999999999734</v>
      </c>
      <c r="L5">
        <v>-0.70470000000000965</v>
      </c>
      <c r="M5">
        <v>-0.72819999999999752</v>
      </c>
      <c r="N5">
        <v>-0.82630000000000114</v>
      </c>
      <c r="O5">
        <v>-0.19279999999999831</v>
      </c>
      <c r="P5">
        <v>1.7073999999999971</v>
      </c>
      <c r="Q5">
        <v>-0.4700000000000033</v>
      </c>
      <c r="R5">
        <v>-3.744900000000003</v>
      </c>
      <c r="S5">
        <v>-1.622199999999995</v>
      </c>
      <c r="T5">
        <v>-1.0577260000000042</v>
      </c>
      <c r="U5">
        <v>-1.5264000000000024</v>
      </c>
      <c r="V5">
        <v>2.1182000000000012</v>
      </c>
      <c r="W5">
        <v>-0.53759999999999586</v>
      </c>
      <c r="X5">
        <v>-0.503000000000001</v>
      </c>
      <c r="Y5">
        <v>1.6998000000000033</v>
      </c>
      <c r="Z5">
        <v>-142.39650000000097</v>
      </c>
      <c r="AA5">
        <v>189.99289999999939</v>
      </c>
      <c r="AB5">
        <v>100.69790000000012</v>
      </c>
      <c r="AC5">
        <v>-5.9600999999996702</v>
      </c>
      <c r="AD5">
        <v>-49.300000000000011</v>
      </c>
      <c r="AE5">
        <v>-7.262100000000018</v>
      </c>
      <c r="AF5">
        <v>-2.4811000000000019</v>
      </c>
      <c r="AG5">
        <v>-6.3334999999999884</v>
      </c>
      <c r="AH5">
        <v>7.460400000000007</v>
      </c>
      <c r="AI5">
        <v>83.535399999999925</v>
      </c>
      <c r="AJ5">
        <v>20.195700000000556</v>
      </c>
      <c r="AK5">
        <v>23.889900000001035</v>
      </c>
      <c r="AL5">
        <v>5.2353999999999949</v>
      </c>
      <c r="AM5">
        <v>3.2302999999999287</v>
      </c>
      <c r="AN5">
        <v>31.001299999999929</v>
      </c>
      <c r="AO5">
        <v>36.89299999999983</v>
      </c>
      <c r="AP5">
        <v>-5.4692999999999969</v>
      </c>
      <c r="AQ5">
        <v>-0.63239999999999996</v>
      </c>
      <c r="AR5">
        <v>44.480507494266313</v>
      </c>
      <c r="AS5">
        <v>42.902404236550595</v>
      </c>
      <c r="AT5">
        <v>10.22866671361591</v>
      </c>
      <c r="AU5">
        <v>8.650563455900194</v>
      </c>
      <c r="AV5">
        <v>0.34651092348839602</v>
      </c>
      <c r="AW5">
        <v>3.8472971386827624</v>
      </c>
      <c r="AX5">
        <v>3.7207679149120745</v>
      </c>
      <c r="AY5">
        <v>9.0692239568326904</v>
      </c>
    </row>
    <row r="6" spans="1:51" x14ac:dyDescent="0.25">
      <c r="A6">
        <v>1994</v>
      </c>
      <c r="B6">
        <v>-7.1932000000000222</v>
      </c>
      <c r="C6">
        <v>-6.2038000000000189</v>
      </c>
      <c r="D6">
        <v>-1.3488000000000326</v>
      </c>
      <c r="E6">
        <v>1.5299999999999514</v>
      </c>
      <c r="F6">
        <v>-1.6486000000000089</v>
      </c>
      <c r="G6">
        <v>2.6538000000000608</v>
      </c>
      <c r="H6">
        <v>3.421799999999962</v>
      </c>
      <c r="I6">
        <v>-1.432200000000023</v>
      </c>
      <c r="J6">
        <v>-0.69900000000002649</v>
      </c>
      <c r="K6">
        <v>-0.3073999999999657</v>
      </c>
      <c r="L6">
        <v>3.7423999999999893</v>
      </c>
      <c r="M6">
        <v>3.8574000000000055</v>
      </c>
      <c r="N6">
        <v>2.1102999999999987</v>
      </c>
      <c r="O6">
        <v>-0.30589999999999806</v>
      </c>
      <c r="P6">
        <v>0.97499999999999698</v>
      </c>
      <c r="Q6">
        <v>-2.7723000000000035</v>
      </c>
      <c r="R6">
        <v>-1.1350000000000029</v>
      </c>
      <c r="S6">
        <v>-0.68989999999999441</v>
      </c>
      <c r="T6">
        <v>0.21227199999999602</v>
      </c>
      <c r="U6">
        <v>2.6330999999999971</v>
      </c>
      <c r="V6">
        <v>0.69720000000000093</v>
      </c>
      <c r="W6">
        <v>-3.2685999999999957</v>
      </c>
      <c r="X6">
        <v>0.23259999999999881</v>
      </c>
      <c r="Y6">
        <v>0.89170000000000327</v>
      </c>
      <c r="Z6">
        <v>175.57299999999896</v>
      </c>
      <c r="AA6">
        <v>205.76619999999934</v>
      </c>
      <c r="AB6">
        <v>37.156200000000126</v>
      </c>
      <c r="AC6">
        <v>-52.367799999999647</v>
      </c>
      <c r="AD6">
        <v>40.669999999999987</v>
      </c>
      <c r="AE6">
        <v>-25.68980000000002</v>
      </c>
      <c r="AF6">
        <v>-2.441600000000002</v>
      </c>
      <c r="AG6">
        <v>4.9230000000000125</v>
      </c>
      <c r="AH6">
        <v>16.911200000000008</v>
      </c>
      <c r="AI6">
        <v>29.071199999999919</v>
      </c>
      <c r="AJ6">
        <v>-115.2953999999994</v>
      </c>
      <c r="AK6">
        <v>-118.58779999999899</v>
      </c>
      <c r="AL6">
        <v>-6.0547000000000057</v>
      </c>
      <c r="AM6">
        <v>53.490399999999923</v>
      </c>
      <c r="AN6">
        <v>105.26139999999992</v>
      </c>
      <c r="AO6">
        <v>-39.806000000000182</v>
      </c>
      <c r="AP6">
        <v>-11.923399999999994</v>
      </c>
      <c r="AQ6">
        <v>-0.72119999999999995</v>
      </c>
      <c r="AR6">
        <v>44.253956490308525</v>
      </c>
      <c r="AS6">
        <v>42.371449558927942</v>
      </c>
      <c r="AT6">
        <v>10.395885380019983</v>
      </c>
      <c r="AU6">
        <v>8.5133784486393971</v>
      </c>
      <c r="AV6">
        <v>0.34610396983093777</v>
      </c>
      <c r="AW6">
        <v>4.1771962154744626</v>
      </c>
      <c r="AX6">
        <v>3.4169437449125502</v>
      </c>
      <c r="AY6">
        <v>8.6666529138973996</v>
      </c>
    </row>
    <row r="7" spans="1:51" x14ac:dyDescent="0.25">
      <c r="A7">
        <v>1995</v>
      </c>
      <c r="B7">
        <v>6.3159999999999741</v>
      </c>
      <c r="C7">
        <v>-3.2215000000000202</v>
      </c>
      <c r="D7">
        <v>2.730999999999959</v>
      </c>
      <c r="E7">
        <v>-2.1005000000000535</v>
      </c>
      <c r="F7">
        <v>-1.997000000000007</v>
      </c>
      <c r="G7">
        <v>0.80900000000006855</v>
      </c>
      <c r="H7">
        <v>2.1634999999999565</v>
      </c>
      <c r="I7">
        <v>0.41849999999996612</v>
      </c>
      <c r="J7">
        <v>-1.8140000000000285</v>
      </c>
      <c r="K7">
        <v>3.3835000000000335</v>
      </c>
      <c r="L7">
        <v>-3.7105000000000175</v>
      </c>
      <c r="M7">
        <v>-5.2569999999999943</v>
      </c>
      <c r="N7">
        <v>0.40689999999999893</v>
      </c>
      <c r="O7">
        <v>-0.29899999999999816</v>
      </c>
      <c r="P7">
        <v>-2.537400000000003</v>
      </c>
      <c r="Q7">
        <v>-2.7346000000000035</v>
      </c>
      <c r="R7">
        <v>-1.5451000000000032</v>
      </c>
      <c r="S7">
        <v>-2.6875999999999944</v>
      </c>
      <c r="T7">
        <v>-0.99773000000000467</v>
      </c>
      <c r="U7">
        <v>-1.6974000000000031</v>
      </c>
      <c r="V7">
        <v>-0.28379999999999894</v>
      </c>
      <c r="W7">
        <v>4.5004000000000053</v>
      </c>
      <c r="X7">
        <v>0.70819999999999883</v>
      </c>
      <c r="Y7">
        <v>-1.4963999999999968</v>
      </c>
      <c r="Z7">
        <v>-236.45750000000112</v>
      </c>
      <c r="AA7">
        <v>122.53949999999929</v>
      </c>
      <c r="AB7">
        <v>-81.385499999999865</v>
      </c>
      <c r="AC7">
        <v>51.224500000000376</v>
      </c>
      <c r="AD7">
        <v>49.639999999999986</v>
      </c>
      <c r="AE7">
        <v>-12.117500000000021</v>
      </c>
      <c r="AF7">
        <v>-2.4021000000000021</v>
      </c>
      <c r="AG7">
        <v>-3.8204999999999867</v>
      </c>
      <c r="AH7">
        <v>36.362000000000009</v>
      </c>
      <c r="AI7">
        <v>-83.393000000000086</v>
      </c>
      <c r="AJ7">
        <v>109.21350000000064</v>
      </c>
      <c r="AK7">
        <v>163.93450000000098</v>
      </c>
      <c r="AL7">
        <v>-11.344800000000006</v>
      </c>
      <c r="AM7">
        <v>8.7504999999999171</v>
      </c>
      <c r="AN7">
        <v>62.521499999999918</v>
      </c>
      <c r="AO7">
        <v>12.494999999999806</v>
      </c>
      <c r="AP7">
        <v>-17.377499999999991</v>
      </c>
      <c r="AQ7">
        <v>1.19</v>
      </c>
      <c r="AR7">
        <v>42.924934286898051</v>
      </c>
      <c r="AS7">
        <v>42.34161012089119</v>
      </c>
      <c r="AT7">
        <v>10.320433330320103</v>
      </c>
      <c r="AU7">
        <v>9.7371091643132477</v>
      </c>
      <c r="AV7">
        <v>0.34342842467823276</v>
      </c>
      <c r="AW7">
        <v>3.8435294569074672</v>
      </c>
      <c r="AX7">
        <v>3.4042571947685105</v>
      </c>
      <c r="AY7">
        <v>7.967461338437265</v>
      </c>
    </row>
    <row r="8" spans="1:51" x14ac:dyDescent="0.25">
      <c r="A8">
        <v>1996</v>
      </c>
      <c r="B8">
        <v>-0.87480000000002534</v>
      </c>
      <c r="C8">
        <v>-1.6392000000000237</v>
      </c>
      <c r="D8">
        <v>-3.1892000000000422</v>
      </c>
      <c r="E8">
        <v>-0.93100000000005423</v>
      </c>
      <c r="F8">
        <v>-1.9454000000000136</v>
      </c>
      <c r="G8">
        <v>0.8642000000000678</v>
      </c>
      <c r="H8">
        <v>-2.2948000000000377</v>
      </c>
      <c r="I8">
        <v>-0.13080000000003622</v>
      </c>
      <c r="J8">
        <v>-0.12900000000003331</v>
      </c>
      <c r="K8">
        <v>-0.92559999999996734</v>
      </c>
      <c r="L8">
        <v>-4.1634000000000171</v>
      </c>
      <c r="M8">
        <v>4.428600000000003</v>
      </c>
      <c r="N8">
        <v>3.1634999999999991</v>
      </c>
      <c r="O8">
        <v>-0.46209999999999773</v>
      </c>
      <c r="P8">
        <v>-2.049800000000003</v>
      </c>
      <c r="Q8">
        <v>1.6930999999999958</v>
      </c>
      <c r="R8">
        <v>-1.2052000000000036</v>
      </c>
      <c r="S8">
        <v>-1.4152999999999936</v>
      </c>
      <c r="T8">
        <v>2.902267999999995</v>
      </c>
      <c r="U8">
        <v>-1.8579000000000034</v>
      </c>
      <c r="V8">
        <v>2.3552000000000013</v>
      </c>
      <c r="W8">
        <v>2.6694000000000049</v>
      </c>
      <c r="X8">
        <v>-0.19620000000000193</v>
      </c>
      <c r="Y8">
        <v>3.6255000000000037</v>
      </c>
      <c r="Z8">
        <v>-16.488000000001193</v>
      </c>
      <c r="AA8">
        <v>81.312799999999243</v>
      </c>
      <c r="AB8">
        <v>98.072800000000143</v>
      </c>
      <c r="AC8">
        <v>17.816800000000399</v>
      </c>
      <c r="AD8">
        <v>44.609999999999985</v>
      </c>
      <c r="AE8">
        <v>-11.545200000000023</v>
      </c>
      <c r="AF8">
        <v>3.6373999999999977</v>
      </c>
      <c r="AG8">
        <v>-3.5639999999999858</v>
      </c>
      <c r="AH8">
        <v>1.81280000000001</v>
      </c>
      <c r="AI8">
        <v>46.142799999999909</v>
      </c>
      <c r="AJ8">
        <v>126.72240000000068</v>
      </c>
      <c r="AK8">
        <v>-136.54319999999905</v>
      </c>
      <c r="AL8">
        <v>-6.6349000000000071</v>
      </c>
      <c r="AM8">
        <v>9.0105999999999113</v>
      </c>
      <c r="AN8">
        <v>-66.218400000000088</v>
      </c>
      <c r="AO8">
        <v>-7.2040000000002067</v>
      </c>
      <c r="AP8">
        <v>-4.8315999999999875</v>
      </c>
      <c r="AQ8">
        <v>-0.89879999999999993</v>
      </c>
      <c r="AR8">
        <v>45.166796134916574</v>
      </c>
      <c r="AS8">
        <v>45.743162287544827</v>
      </c>
      <c r="AT8">
        <v>10.734700429507201</v>
      </c>
      <c r="AU8">
        <v>11.311066582135453</v>
      </c>
      <c r="AV8">
        <v>0.29605890595346795</v>
      </c>
      <c r="AW8">
        <v>4.1360872574889607</v>
      </c>
      <c r="AX8">
        <v>3.6554256027131617</v>
      </c>
      <c r="AY8">
        <v>8.4506990309921211</v>
      </c>
    </row>
    <row r="9" spans="1:51" x14ac:dyDescent="0.25">
      <c r="A9">
        <v>1997</v>
      </c>
      <c r="B9">
        <v>0.73439999999997241</v>
      </c>
      <c r="C9">
        <v>4.8430999999999749</v>
      </c>
      <c r="D9">
        <v>-0.8094000000000463</v>
      </c>
      <c r="E9">
        <v>-2.2615000000000549</v>
      </c>
      <c r="F9">
        <v>-3.5938000000000088</v>
      </c>
      <c r="G9">
        <v>1.9400000000075579E-2</v>
      </c>
      <c r="H9">
        <v>-0.95310000000004891</v>
      </c>
      <c r="I9">
        <v>-1.58010000000003</v>
      </c>
      <c r="J9">
        <v>-0.94400000000003104</v>
      </c>
      <c r="K9">
        <v>-1.3346999999999625</v>
      </c>
      <c r="L9">
        <v>-3.0163000000000153</v>
      </c>
      <c r="M9">
        <v>0.41420000000000456</v>
      </c>
      <c r="N9">
        <v>0.34009999999999874</v>
      </c>
      <c r="O9">
        <v>-1.0751999999999979</v>
      </c>
      <c r="P9">
        <v>-0.87220000000000297</v>
      </c>
      <c r="Q9">
        <v>-1.0392000000000037</v>
      </c>
      <c r="R9">
        <v>-1.4153000000000038</v>
      </c>
      <c r="S9">
        <v>-2.4729999999999936</v>
      </c>
      <c r="T9">
        <v>-0.3277340000000053</v>
      </c>
      <c r="U9">
        <v>1.971599999999996</v>
      </c>
      <c r="V9">
        <v>-2.5057999999999989</v>
      </c>
      <c r="W9">
        <v>-2.7015999999999947</v>
      </c>
      <c r="X9">
        <v>2.1793999999999984</v>
      </c>
      <c r="Y9">
        <v>-0.60259999999999625</v>
      </c>
      <c r="Z9">
        <v>-69.518500000001268</v>
      </c>
      <c r="AA9">
        <v>-99.913900000000808</v>
      </c>
      <c r="AB9">
        <v>14.531100000000151</v>
      </c>
      <c r="AC9">
        <v>53.409100000000421</v>
      </c>
      <c r="AD9">
        <v>90.579999999999984</v>
      </c>
      <c r="AE9">
        <v>-1.9729000000000241</v>
      </c>
      <c r="AF9">
        <v>-1.3231000000000024</v>
      </c>
      <c r="AG9">
        <v>6.692500000000015</v>
      </c>
      <c r="AH9">
        <v>16.263600000000011</v>
      </c>
      <c r="AI9">
        <v>53.678599999999904</v>
      </c>
      <c r="AJ9">
        <v>87.231300000000715</v>
      </c>
      <c r="AK9">
        <v>-12.020899999999074</v>
      </c>
      <c r="AL9">
        <v>-11.925000000000008</v>
      </c>
      <c r="AM9">
        <v>-7.7293000000000944</v>
      </c>
      <c r="AN9">
        <v>-28.958300000000094</v>
      </c>
      <c r="AO9">
        <v>-45.903000000000219</v>
      </c>
      <c r="AP9">
        <v>-13.285699999999984</v>
      </c>
      <c r="AQ9">
        <v>-0.98759999999999992</v>
      </c>
      <c r="AR9">
        <v>48.838702298609633</v>
      </c>
      <c r="AS9">
        <v>50.144145289764367</v>
      </c>
      <c r="AT9">
        <v>13.201969739517997</v>
      </c>
      <c r="AU9">
        <v>14.507412730672725</v>
      </c>
      <c r="AV9">
        <v>0.28218943514513906</v>
      </c>
      <c r="AW9">
        <v>4.305428451978198</v>
      </c>
      <c r="AX9">
        <v>4.492958408889983</v>
      </c>
      <c r="AY9">
        <v>8.1747703912872112</v>
      </c>
    </row>
    <row r="10" spans="1:51" x14ac:dyDescent="0.25">
      <c r="A10">
        <v>1998</v>
      </c>
      <c r="B10">
        <v>6.8435999999999737</v>
      </c>
      <c r="C10">
        <v>6.1253999999999778</v>
      </c>
      <c r="D10">
        <v>2.670399999999951</v>
      </c>
      <c r="E10">
        <v>1.1079999999999401</v>
      </c>
      <c r="F10">
        <v>3.1577999999999875</v>
      </c>
      <c r="G10">
        <v>-1.1253999999999138</v>
      </c>
      <c r="H10">
        <v>-0.61140000000004591</v>
      </c>
      <c r="I10">
        <v>1.5705999999999563</v>
      </c>
      <c r="J10">
        <v>1.5409999999999684</v>
      </c>
      <c r="K10">
        <v>0.35620000000003671</v>
      </c>
      <c r="L10">
        <v>-0.36920000000002062</v>
      </c>
      <c r="M10">
        <v>4.8998000000000062</v>
      </c>
      <c r="N10">
        <v>1.0966999999999985</v>
      </c>
      <c r="O10">
        <v>0.82170000000000254</v>
      </c>
      <c r="P10">
        <v>1.0953999999999962</v>
      </c>
      <c r="Q10">
        <v>-1.0215000000000041</v>
      </c>
      <c r="R10">
        <v>1.0445999999999964</v>
      </c>
      <c r="S10">
        <v>2.999300000000007</v>
      </c>
      <c r="T10">
        <v>-0.52773600000000531</v>
      </c>
      <c r="U10">
        <v>-1.6589000000000045</v>
      </c>
      <c r="V10">
        <v>-1.1467999999999985</v>
      </c>
      <c r="W10">
        <v>0.50740000000000585</v>
      </c>
      <c r="X10">
        <v>-1.845000000000002</v>
      </c>
      <c r="Y10">
        <v>-2.610699999999996</v>
      </c>
      <c r="Z10">
        <v>-261.54900000000134</v>
      </c>
      <c r="AA10">
        <v>-126.14060000000086</v>
      </c>
      <c r="AB10">
        <v>-84.01059999999984</v>
      </c>
      <c r="AC10">
        <v>-38.998599999999556</v>
      </c>
      <c r="AD10">
        <v>-81.450000000000017</v>
      </c>
      <c r="AE10">
        <v>11.599399999999974</v>
      </c>
      <c r="AF10">
        <v>-1.2836000000000025</v>
      </c>
      <c r="AG10">
        <v>-8.0509999999999842</v>
      </c>
      <c r="AH10">
        <v>-28.285599999999988</v>
      </c>
      <c r="AI10">
        <v>0.21439999999989823</v>
      </c>
      <c r="AJ10">
        <v>8.7402000000007547</v>
      </c>
      <c r="AK10">
        <v>-146.4985999999991</v>
      </c>
      <c r="AL10">
        <v>14.784899999999991</v>
      </c>
      <c r="AM10">
        <v>-24.4692000000001</v>
      </c>
      <c r="AN10">
        <v>-16.698200000000099</v>
      </c>
      <c r="AO10">
        <v>36.397999999999769</v>
      </c>
      <c r="AP10">
        <v>17.260200000000019</v>
      </c>
      <c r="AQ10">
        <v>-1.0764</v>
      </c>
      <c r="AR10">
        <v>47.294503783922437</v>
      </c>
      <c r="AS10">
        <v>47.693873219998849</v>
      </c>
      <c r="AT10">
        <v>12.948870196922446</v>
      </c>
      <c r="AU10">
        <v>13.348239632998851</v>
      </c>
      <c r="AV10">
        <v>0.30052024788394921</v>
      </c>
      <c r="AW10">
        <v>4.0392954513616797</v>
      </c>
      <c r="AX10">
        <v>4.3407024183768375</v>
      </c>
      <c r="AY10">
        <v>7.1108113605170171</v>
      </c>
    </row>
    <row r="11" spans="1:51" x14ac:dyDescent="0.25">
      <c r="A11">
        <v>1999</v>
      </c>
      <c r="B11">
        <v>1.0527999999999693</v>
      </c>
      <c r="C11">
        <v>2.6076999999999728</v>
      </c>
      <c r="D11">
        <v>0.7501999999999498</v>
      </c>
      <c r="E11">
        <v>0.37749999999993378</v>
      </c>
      <c r="F11">
        <v>0.60939999999998662</v>
      </c>
      <c r="G11">
        <v>2.4298000000000854</v>
      </c>
      <c r="H11">
        <v>2.9302999999999457</v>
      </c>
      <c r="I11">
        <v>-0.27870000000004325</v>
      </c>
      <c r="J11">
        <v>1.8259999999999579</v>
      </c>
      <c r="K11">
        <v>-1.452899999999957</v>
      </c>
      <c r="L11">
        <v>3.6778999999999797</v>
      </c>
      <c r="M11">
        <v>1.9854000000000021</v>
      </c>
      <c r="N11">
        <v>3.7232999999999983</v>
      </c>
      <c r="O11">
        <v>0.57860000000000245</v>
      </c>
      <c r="P11">
        <v>0.39299999999999624</v>
      </c>
      <c r="Q11">
        <v>-4.1938000000000049</v>
      </c>
      <c r="R11">
        <v>-0.50550000000000406</v>
      </c>
      <c r="S11">
        <v>-3.5883999999999925</v>
      </c>
      <c r="T11">
        <v>-1.7277380000000058</v>
      </c>
      <c r="U11">
        <v>-1.2294000000000049</v>
      </c>
      <c r="V11">
        <v>6.3922000000000025</v>
      </c>
      <c r="W11">
        <v>-0.11359999999999371</v>
      </c>
      <c r="X11">
        <v>-0.88940000000000197</v>
      </c>
      <c r="Y11">
        <v>-1.1387999999999958</v>
      </c>
      <c r="Z11">
        <v>-90.579500000001417</v>
      </c>
      <c r="AA11">
        <v>-26.36730000000091</v>
      </c>
      <c r="AB11">
        <v>-27.552299999999832</v>
      </c>
      <c r="AC11">
        <v>-20.406299999999533</v>
      </c>
      <c r="AD11">
        <v>-24.480000000000018</v>
      </c>
      <c r="AE11">
        <v>-22.828300000000027</v>
      </c>
      <c r="AF11">
        <v>-2.2441000000000026</v>
      </c>
      <c r="AG11">
        <v>-1.7944999999999833</v>
      </c>
      <c r="AH11">
        <v>-30.834799999999987</v>
      </c>
      <c r="AI11">
        <v>51.750199999999893</v>
      </c>
      <c r="AJ11">
        <v>-105.75089999999921</v>
      </c>
      <c r="AK11">
        <v>-61.976299999999128</v>
      </c>
      <c r="AL11">
        <v>0.4947999999999908</v>
      </c>
      <c r="AM11">
        <v>49.790899999999894</v>
      </c>
      <c r="AN11">
        <v>90.561899999999895</v>
      </c>
      <c r="AO11">
        <v>-11.301000000000244</v>
      </c>
      <c r="AP11">
        <v>18.806100000000022</v>
      </c>
      <c r="AQ11">
        <v>-1.1652</v>
      </c>
      <c r="AR11">
        <v>48.971648046952886</v>
      </c>
      <c r="AS11">
        <v>48.908236966484935</v>
      </c>
      <c r="AT11">
        <v>12.210133852255002</v>
      </c>
      <c r="AU11">
        <v>12.146722771787049</v>
      </c>
      <c r="AV11">
        <v>0.30803259638365671</v>
      </c>
      <c r="AW11">
        <v>4.2952045328372979</v>
      </c>
      <c r="AX11">
        <v>4.3725278738931674</v>
      </c>
      <c r="AY11">
        <v>8.0297172640889674</v>
      </c>
    </row>
    <row r="12" spans="1:51" x14ac:dyDescent="0.25">
      <c r="A12">
        <v>2000</v>
      </c>
      <c r="B12">
        <v>-1.8380000000000294</v>
      </c>
      <c r="C12">
        <v>2.1899999999999729</v>
      </c>
      <c r="D12">
        <v>5.2299999999999471</v>
      </c>
      <c r="E12">
        <v>-1.4530000000000669</v>
      </c>
      <c r="F12">
        <v>-3.9000000000015689E-2</v>
      </c>
      <c r="G12">
        <v>-0.41499999999990678</v>
      </c>
      <c r="H12">
        <v>-4.128000000000057</v>
      </c>
      <c r="I12">
        <v>-2.2280000000000371</v>
      </c>
      <c r="J12">
        <v>-1.6890000000000356</v>
      </c>
      <c r="K12">
        <v>-0.56199999999995498</v>
      </c>
      <c r="L12">
        <v>-1.2750000000000199</v>
      </c>
      <c r="M12">
        <v>-5.8289999999999935</v>
      </c>
      <c r="N12">
        <v>-0.13010000000000144</v>
      </c>
      <c r="O12">
        <v>-0.56449999999999756</v>
      </c>
      <c r="P12">
        <v>-0.93940000000000357</v>
      </c>
      <c r="Q12">
        <v>-0.55610000000000515</v>
      </c>
      <c r="R12">
        <v>-0.36560000000000414</v>
      </c>
      <c r="S12">
        <v>1.7639000000000076</v>
      </c>
      <c r="T12">
        <v>2.0822599999999944</v>
      </c>
      <c r="U12">
        <v>-0.71990000000000531</v>
      </c>
      <c r="V12">
        <v>0.12120000000000086</v>
      </c>
      <c r="W12">
        <v>-3.4845999999999941</v>
      </c>
      <c r="X12">
        <v>-0.32380000000000209</v>
      </c>
      <c r="Y12">
        <v>0.28310000000000413</v>
      </c>
      <c r="Z12">
        <v>-2.6100000000014916</v>
      </c>
      <c r="AA12">
        <v>-15.59400000000096</v>
      </c>
      <c r="AB12">
        <v>-162.09399999999982</v>
      </c>
      <c r="AC12">
        <v>36.18600000000049</v>
      </c>
      <c r="AD12">
        <v>-7.5100000000000193</v>
      </c>
      <c r="AE12">
        <v>0.74399999999997135</v>
      </c>
      <c r="AF12">
        <v>13.795399999999997</v>
      </c>
      <c r="AG12">
        <v>10.462000000000018</v>
      </c>
      <c r="AH12">
        <v>30.616000000000014</v>
      </c>
      <c r="AI12">
        <v>25.285999999999888</v>
      </c>
      <c r="AJ12">
        <v>37.758000000000834</v>
      </c>
      <c r="AK12">
        <v>178.54600000000084</v>
      </c>
      <c r="AL12">
        <v>-2.7953000000000099</v>
      </c>
      <c r="AM12">
        <v>-8.9490000000001118</v>
      </c>
      <c r="AN12">
        <v>-112.17800000000011</v>
      </c>
      <c r="AO12">
        <v>-60.000000000000256</v>
      </c>
      <c r="AP12">
        <v>-21.647999999999975</v>
      </c>
      <c r="AQ12">
        <v>-1.254</v>
      </c>
      <c r="AR12">
        <v>49.65530365161824</v>
      </c>
      <c r="AS12">
        <v>50.323403348930967</v>
      </c>
      <c r="AT12">
        <v>11.989900612431979</v>
      </c>
      <c r="AU12">
        <v>12.658000309744708</v>
      </c>
      <c r="AV12">
        <v>0.29695875989199799</v>
      </c>
      <c r="AW12">
        <v>4.5502705055175587</v>
      </c>
      <c r="AX12">
        <v>4.6271664503895247</v>
      </c>
      <c r="AY12">
        <v>8.7813383321292289</v>
      </c>
    </row>
    <row r="13" spans="1:51" x14ac:dyDescent="0.25">
      <c r="A13">
        <v>2001</v>
      </c>
      <c r="B13">
        <v>-0.72880000000003164</v>
      </c>
      <c r="C13">
        <v>0.37229999999997077</v>
      </c>
      <c r="D13">
        <v>-2.5902000000000527</v>
      </c>
      <c r="E13">
        <v>0.31649999999992673</v>
      </c>
      <c r="F13">
        <v>0.91259999999998342</v>
      </c>
      <c r="G13">
        <v>1.6402000000000925</v>
      </c>
      <c r="H13">
        <v>-3.786300000000054</v>
      </c>
      <c r="I13">
        <v>2.6226999999999521</v>
      </c>
      <c r="J13">
        <v>-0.50400000000004042</v>
      </c>
      <c r="K13">
        <v>0.92890000000004846</v>
      </c>
      <c r="L13">
        <v>3.4720999999999762</v>
      </c>
      <c r="M13">
        <v>5.0566000000000031</v>
      </c>
      <c r="N13">
        <v>-1.1335000000000015</v>
      </c>
      <c r="O13">
        <v>-0.59759999999999724</v>
      </c>
      <c r="P13">
        <v>2.6081999999999956</v>
      </c>
      <c r="Q13">
        <v>-4.0184000000000051</v>
      </c>
      <c r="R13">
        <v>-0.76570000000000427</v>
      </c>
      <c r="S13">
        <v>1.9262000000000086</v>
      </c>
      <c r="T13">
        <v>-1.9577420000000063</v>
      </c>
      <c r="U13">
        <v>-0.31040000000000578</v>
      </c>
      <c r="V13">
        <v>-0.10979999999999857</v>
      </c>
      <c r="W13">
        <v>-3.3955999999999937</v>
      </c>
      <c r="X13">
        <v>-2.8882000000000021</v>
      </c>
      <c r="Y13">
        <v>-1.5149999999999952</v>
      </c>
      <c r="Z13">
        <v>-33.640500000001566</v>
      </c>
      <c r="AA13">
        <v>36.179299999998989</v>
      </c>
      <c r="AB13">
        <v>73.364300000000185</v>
      </c>
      <c r="AC13">
        <v>-21.221699999999487</v>
      </c>
      <c r="AD13">
        <v>-35.54000000000002</v>
      </c>
      <c r="AE13">
        <v>-17.68370000000003</v>
      </c>
      <c r="AF13">
        <v>10.834899999999998</v>
      </c>
      <c r="AG13">
        <v>-8.2814999999999817</v>
      </c>
      <c r="AH13">
        <v>5.0668000000000148</v>
      </c>
      <c r="AI13">
        <v>-24.178200000000118</v>
      </c>
      <c r="AJ13">
        <v>-105.73309999999913</v>
      </c>
      <c r="AK13">
        <v>-158.93169999999918</v>
      </c>
      <c r="AL13">
        <v>1.9145999999999894</v>
      </c>
      <c r="AM13">
        <v>37.311099999999882</v>
      </c>
      <c r="AN13">
        <v>-102.91790000000012</v>
      </c>
      <c r="AO13">
        <v>72.300999999999732</v>
      </c>
      <c r="AP13">
        <v>-10.102099999999972</v>
      </c>
      <c r="AQ13">
        <v>-1.3428</v>
      </c>
      <c r="AR13">
        <v>49.976332775467526</v>
      </c>
      <c r="AS13">
        <v>49.049107506480681</v>
      </c>
      <c r="AT13">
        <v>12.343415698509945</v>
      </c>
      <c r="AU13">
        <v>11.4161904295231</v>
      </c>
      <c r="AV13">
        <v>0.29271970407744557</v>
      </c>
      <c r="AW13">
        <v>4.3216339216085036</v>
      </c>
      <c r="AX13">
        <v>4.3937736849395934</v>
      </c>
      <c r="AY13">
        <v>8.4967831962407701</v>
      </c>
    </row>
    <row r="14" spans="1:51" x14ac:dyDescent="0.25">
      <c r="A14">
        <v>2002</v>
      </c>
      <c r="B14">
        <v>6.6803999999999633</v>
      </c>
      <c r="C14">
        <v>4.9545999999999708</v>
      </c>
      <c r="D14">
        <v>1.8895999999999447</v>
      </c>
      <c r="E14">
        <v>2.485999999999926</v>
      </c>
      <c r="F14">
        <v>-2.9358000000000146</v>
      </c>
      <c r="G14">
        <v>-1.0045999999998969</v>
      </c>
      <c r="H14">
        <v>0.75539999999993768</v>
      </c>
      <c r="I14">
        <v>1.6733999999999583</v>
      </c>
      <c r="J14">
        <v>1.6809999999999548</v>
      </c>
      <c r="K14">
        <v>-2.2801999999999509</v>
      </c>
      <c r="L14">
        <v>-1.880800000000022</v>
      </c>
      <c r="M14">
        <v>-2.357800000000001</v>
      </c>
      <c r="N14">
        <v>-1.6469000000000018</v>
      </c>
      <c r="O14">
        <v>-1.4906999999999972</v>
      </c>
      <c r="P14">
        <v>-0.97420000000000417</v>
      </c>
      <c r="Q14">
        <v>-1.8907000000000052</v>
      </c>
      <c r="R14">
        <v>0.31419999999999515</v>
      </c>
      <c r="S14">
        <v>0.53850000000000886</v>
      </c>
      <c r="T14">
        <v>-1.5577440000000067</v>
      </c>
      <c r="U14">
        <v>-0.54090000000000593</v>
      </c>
      <c r="V14">
        <v>0.75920000000000165</v>
      </c>
      <c r="W14">
        <v>-0.38659999999999339</v>
      </c>
      <c r="X14">
        <v>1.7773999999999974</v>
      </c>
      <c r="Y14">
        <v>0.69690000000000518</v>
      </c>
      <c r="Z14">
        <v>-263.67100000000164</v>
      </c>
      <c r="AA14">
        <v>-83.047400000001062</v>
      </c>
      <c r="AB14">
        <v>-60.177399999999807</v>
      </c>
      <c r="AC14">
        <v>-81.629399999999464</v>
      </c>
      <c r="AD14">
        <v>73.429999999999978</v>
      </c>
      <c r="AE14">
        <v>9.8885999999999683</v>
      </c>
      <c r="AF14">
        <v>-2.125600000000003</v>
      </c>
      <c r="AG14">
        <v>-7.0249999999999808</v>
      </c>
      <c r="AH14">
        <v>-29.482399999999984</v>
      </c>
      <c r="AI14">
        <v>72.357599999999877</v>
      </c>
      <c r="AJ14">
        <v>55.775800000000913</v>
      </c>
      <c r="AK14">
        <v>75.590600000000791</v>
      </c>
      <c r="AL14">
        <v>-13.375500000000011</v>
      </c>
      <c r="AM14">
        <v>-22.428800000000123</v>
      </c>
      <c r="AN14">
        <v>18.342199999999877</v>
      </c>
      <c r="AO14">
        <v>39.60199999999972</v>
      </c>
      <c r="AP14">
        <v>17.443800000000032</v>
      </c>
      <c r="AQ14">
        <v>-1.4316</v>
      </c>
      <c r="AR14">
        <v>48.994755656283935</v>
      </c>
      <c r="AS14">
        <v>47.390261616864528</v>
      </c>
      <c r="AT14">
        <v>11.983738560961358</v>
      </c>
      <c r="AU14">
        <v>10.379244521541946</v>
      </c>
      <c r="AV14">
        <v>0.30088541808385355</v>
      </c>
      <c r="AW14">
        <v>4.1316137735641236</v>
      </c>
      <c r="AX14">
        <v>4.3712784082738256</v>
      </c>
      <c r="AY14">
        <v>8.2308893319980019</v>
      </c>
    </row>
    <row r="15" spans="1:51" x14ac:dyDescent="0.25">
      <c r="A15">
        <v>2003</v>
      </c>
      <c r="B15">
        <v>-5.3104000000000369</v>
      </c>
      <c r="C15">
        <v>-5.3631000000000313</v>
      </c>
      <c r="D15">
        <v>-0.73060000000005942</v>
      </c>
      <c r="E15">
        <v>-3.1445000000000789</v>
      </c>
      <c r="F15">
        <v>-3.0842000000000169</v>
      </c>
      <c r="G15">
        <v>-1.8493999999998891</v>
      </c>
      <c r="H15">
        <v>-0.60290000000006216</v>
      </c>
      <c r="I15">
        <v>1.9240999999999531</v>
      </c>
      <c r="J15">
        <v>6.5999999999952763E-2</v>
      </c>
      <c r="K15">
        <v>-2.6892999999999532</v>
      </c>
      <c r="L15">
        <v>1.8662999999999741</v>
      </c>
      <c r="M15">
        <v>0.12779999999999347</v>
      </c>
      <c r="N15">
        <v>-0.94030000000000191</v>
      </c>
      <c r="O15">
        <v>0.65620000000000278</v>
      </c>
      <c r="P15">
        <v>-0.81660000000000466</v>
      </c>
      <c r="Q15">
        <v>-2.3930000000000056</v>
      </c>
      <c r="R15">
        <v>-0.19590000000000529</v>
      </c>
      <c r="S15">
        <v>2.6708000000000087</v>
      </c>
      <c r="T15">
        <v>-1.137746000000007</v>
      </c>
      <c r="U15">
        <v>0.8685999999999936</v>
      </c>
      <c r="V15">
        <v>3.6182000000000016</v>
      </c>
      <c r="W15">
        <v>1.3524000000000074</v>
      </c>
      <c r="X15">
        <v>-0.66700000000000248</v>
      </c>
      <c r="Y15">
        <v>1.1588000000000047</v>
      </c>
      <c r="Z15">
        <v>96.298499999998285</v>
      </c>
      <c r="AA15">
        <v>207.72589999999889</v>
      </c>
      <c r="AB15">
        <v>23.280900000000202</v>
      </c>
      <c r="AC15">
        <v>88.962900000000559</v>
      </c>
      <c r="AD15">
        <v>84.399999999999977</v>
      </c>
      <c r="AE15">
        <v>24.460899999999967</v>
      </c>
      <c r="AF15">
        <v>-2.0861000000000032</v>
      </c>
      <c r="AG15">
        <v>-6.7684999999999809</v>
      </c>
      <c r="AH15">
        <v>-7.0315999999999832</v>
      </c>
      <c r="AI15">
        <v>81.893399999999872</v>
      </c>
      <c r="AJ15">
        <v>-52.715299999999047</v>
      </c>
      <c r="AK15">
        <v>-2.8870999999992364</v>
      </c>
      <c r="AL15">
        <v>-13.665600000000012</v>
      </c>
      <c r="AM15">
        <v>-38.168700000000129</v>
      </c>
      <c r="AN15">
        <v>-20.397700000000128</v>
      </c>
      <c r="AO15">
        <v>47.902999999999707</v>
      </c>
      <c r="AP15">
        <v>-3.0102999999999653</v>
      </c>
      <c r="AQ15">
        <v>-1.5204</v>
      </c>
      <c r="AR15">
        <v>52.609510670346005</v>
      </c>
      <c r="AS15">
        <v>49.903133185510285</v>
      </c>
      <c r="AT15">
        <v>12.355896167381317</v>
      </c>
      <c r="AU15">
        <v>9.6495186825455992</v>
      </c>
      <c r="AV15">
        <v>0.28557020330327432</v>
      </c>
      <c r="AW15">
        <v>4.9599546268754944</v>
      </c>
      <c r="AX15">
        <v>4.7305065623983156</v>
      </c>
      <c r="AY15">
        <v>9.7986813106196937</v>
      </c>
    </row>
    <row r="16" spans="1:51" x14ac:dyDescent="0.25">
      <c r="A16">
        <v>2004</v>
      </c>
      <c r="B16">
        <v>-8.1012000000000377</v>
      </c>
      <c r="C16">
        <v>-0.68080000000003338</v>
      </c>
      <c r="D16">
        <v>1.2491999999999379</v>
      </c>
      <c r="E16">
        <v>0.32499999999991758</v>
      </c>
      <c r="F16">
        <v>1.7673999999999808</v>
      </c>
      <c r="G16">
        <v>-1.594199999999887</v>
      </c>
      <c r="H16">
        <v>-2.1612000000000648</v>
      </c>
      <c r="I16">
        <v>-0.7252000000000578</v>
      </c>
      <c r="J16">
        <v>0.45099999999995077</v>
      </c>
      <c r="K16">
        <v>-1.1983999999999497</v>
      </c>
      <c r="L16">
        <v>-8.6600000000025545E-2</v>
      </c>
      <c r="M16">
        <v>-1.5866000000000078</v>
      </c>
      <c r="N16">
        <v>-1.703700000000002</v>
      </c>
      <c r="O16">
        <v>-0.99689999999999701</v>
      </c>
      <c r="P16">
        <v>-2.1690000000000045</v>
      </c>
      <c r="Q16">
        <v>1.314699999999994</v>
      </c>
      <c r="R16">
        <v>-1.3460000000000054</v>
      </c>
      <c r="S16">
        <v>-2.5368999999999904</v>
      </c>
      <c r="T16">
        <v>0.39225199999999294</v>
      </c>
      <c r="U16">
        <v>1.3380999999999927</v>
      </c>
      <c r="V16">
        <v>4.2872000000000021</v>
      </c>
      <c r="W16">
        <v>-2.5385999999999926</v>
      </c>
      <c r="X16">
        <v>0.17859999999999765</v>
      </c>
      <c r="Y16">
        <v>0.32070000000000487</v>
      </c>
      <c r="Z16">
        <v>184.26799999999821</v>
      </c>
      <c r="AA16">
        <v>73.499199999998837</v>
      </c>
      <c r="AB16">
        <v>-35.26079999999979</v>
      </c>
      <c r="AC16">
        <v>-14.444799999999418</v>
      </c>
      <c r="AD16">
        <v>-52.630000000000024</v>
      </c>
      <c r="AE16">
        <v>16.033199999999965</v>
      </c>
      <c r="AF16">
        <v>1.9533999999999967</v>
      </c>
      <c r="AG16">
        <v>-0.51199999999998091</v>
      </c>
      <c r="AH16">
        <v>-12.580799999999982</v>
      </c>
      <c r="AI16">
        <v>34.429199999999867</v>
      </c>
      <c r="AJ16">
        <v>2.7936000000009926</v>
      </c>
      <c r="AK16">
        <v>44.635200000000737</v>
      </c>
      <c r="AL16">
        <v>5.0442999999999873</v>
      </c>
      <c r="AM16">
        <v>-28.908600000000135</v>
      </c>
      <c r="AN16">
        <v>-64.137600000000134</v>
      </c>
      <c r="AO16">
        <v>-27.796000000000305</v>
      </c>
      <c r="AP16">
        <v>2.5356000000000378</v>
      </c>
      <c r="AQ16">
        <v>-1.6092</v>
      </c>
      <c r="AR16">
        <v>53.638109347280235</v>
      </c>
      <c r="AS16">
        <v>51.828640559967518</v>
      </c>
      <c r="AT16">
        <v>12.228978878725954</v>
      </c>
      <c r="AU16">
        <v>10.419510091413237</v>
      </c>
      <c r="AV16">
        <v>0.26292664314934899</v>
      </c>
      <c r="AW16">
        <v>3.9419910738108217</v>
      </c>
      <c r="AX16">
        <v>4.6931525162496799</v>
      </c>
      <c r="AY16">
        <v>10.287679530368065</v>
      </c>
    </row>
    <row r="17" spans="1:51" x14ac:dyDescent="0.25">
      <c r="A17">
        <v>2005</v>
      </c>
      <c r="B17">
        <v>-2.5920000000000378</v>
      </c>
      <c r="C17">
        <v>0.50149999999996453</v>
      </c>
      <c r="D17">
        <v>-4.4710000000000676</v>
      </c>
      <c r="E17">
        <v>1.5944999999999112</v>
      </c>
      <c r="F17">
        <v>-5.0810000000000173</v>
      </c>
      <c r="G17">
        <v>2.9610000000001122</v>
      </c>
      <c r="H17">
        <v>0.18049999999993815</v>
      </c>
      <c r="I17">
        <v>2.6254999999999455</v>
      </c>
      <c r="J17">
        <v>2.5359999999999516</v>
      </c>
      <c r="K17">
        <v>0.49250000000005656</v>
      </c>
      <c r="L17">
        <v>0.96049999999997482</v>
      </c>
      <c r="M17">
        <v>-3.8010000000000126</v>
      </c>
      <c r="N17">
        <v>1.2528999999999977</v>
      </c>
      <c r="O17">
        <v>-0.67999999999999661</v>
      </c>
      <c r="P17">
        <v>-1.1514000000000051</v>
      </c>
      <c r="Q17">
        <v>-0.23760000000000581</v>
      </c>
      <c r="R17">
        <v>-2.3661000000000056</v>
      </c>
      <c r="S17">
        <v>-2.1545999999999901</v>
      </c>
      <c r="T17">
        <v>-0.52775000000000727</v>
      </c>
      <c r="U17">
        <v>-2.1424000000000074</v>
      </c>
      <c r="V17">
        <v>-1.7337999999999982</v>
      </c>
      <c r="W17">
        <v>11.140400000000007</v>
      </c>
      <c r="X17">
        <v>0.93419999999999703</v>
      </c>
      <c r="Y17">
        <v>0.15260000000000495</v>
      </c>
      <c r="Z17">
        <v>11.237499999998136</v>
      </c>
      <c r="AA17">
        <v>49.272499999998786</v>
      </c>
      <c r="AB17">
        <v>136.19750000000022</v>
      </c>
      <c r="AC17">
        <v>-51.852499999999395</v>
      </c>
      <c r="AD17">
        <v>136.33999999999997</v>
      </c>
      <c r="AE17">
        <v>-22.394500000000036</v>
      </c>
      <c r="AF17">
        <v>-2.0071000000000034</v>
      </c>
      <c r="AG17">
        <v>-7.255499999999981</v>
      </c>
      <c r="AH17">
        <v>-42.129999999999981</v>
      </c>
      <c r="AI17">
        <v>-14.035000000000139</v>
      </c>
      <c r="AJ17">
        <v>-28.697499999998968</v>
      </c>
      <c r="AK17">
        <v>117.15750000000071</v>
      </c>
      <c r="AL17">
        <v>-14.245800000000013</v>
      </c>
      <c r="AM17">
        <v>59.351499999999859</v>
      </c>
      <c r="AN17">
        <v>1.1224999999998602</v>
      </c>
      <c r="AO17">
        <v>72.504999999999683</v>
      </c>
      <c r="AP17">
        <v>36.081500000000041</v>
      </c>
      <c r="AQ17">
        <v>-1.698</v>
      </c>
      <c r="AR17">
        <v>52.005117172650095</v>
      </c>
      <c r="AS17">
        <v>51.008316899439876</v>
      </c>
      <c r="AT17">
        <v>12.670138824478334</v>
      </c>
      <c r="AU17">
        <v>11.673338551268115</v>
      </c>
      <c r="AV17">
        <v>0.33352295175560137</v>
      </c>
      <c r="AW17">
        <v>3.7509581266116712</v>
      </c>
      <c r="AX17">
        <v>4.6145716587212782</v>
      </c>
      <c r="AY17">
        <v>9.3488476935461957</v>
      </c>
    </row>
    <row r="18" spans="1:51" x14ac:dyDescent="0.25">
      <c r="A18">
        <v>2006</v>
      </c>
      <c r="B18">
        <v>6.7171999999999628</v>
      </c>
      <c r="C18">
        <v>0.28379999999996386</v>
      </c>
      <c r="D18">
        <v>-9.1200000000064563E-2</v>
      </c>
      <c r="E18">
        <v>1.2639999999999105</v>
      </c>
      <c r="F18">
        <v>-1.0294000000000167</v>
      </c>
      <c r="G18">
        <v>0.41620000000011714</v>
      </c>
      <c r="H18">
        <v>1.8221999999999241</v>
      </c>
      <c r="I18">
        <v>-0.62380000000005964</v>
      </c>
      <c r="J18">
        <v>-2.3790000000000475</v>
      </c>
      <c r="K18">
        <v>-1.3165999999999443</v>
      </c>
      <c r="L18">
        <v>4.2075999999999709</v>
      </c>
      <c r="M18">
        <v>5.3845999999999847</v>
      </c>
      <c r="N18">
        <v>2.3094999999999981</v>
      </c>
      <c r="O18">
        <v>-0.69309999999999672</v>
      </c>
      <c r="P18">
        <v>-4.4638000000000053</v>
      </c>
      <c r="Q18">
        <v>-0.92990000000000617</v>
      </c>
      <c r="R18">
        <v>2.1937999999999942</v>
      </c>
      <c r="S18">
        <v>4.647700000000011</v>
      </c>
      <c r="T18">
        <v>-0.99775200000000774</v>
      </c>
      <c r="U18">
        <v>1.0570999999999922</v>
      </c>
      <c r="V18">
        <v>-1.1447999999999983</v>
      </c>
      <c r="W18">
        <v>2.2494000000000076</v>
      </c>
      <c r="X18">
        <v>2.4397999999999973</v>
      </c>
      <c r="Y18">
        <v>-1.9754999999999958</v>
      </c>
      <c r="Z18">
        <v>-275.79300000000194</v>
      </c>
      <c r="AA18">
        <v>55.045799999998735</v>
      </c>
      <c r="AB18">
        <v>3.6558000000002266</v>
      </c>
      <c r="AC18">
        <v>-46.260199999999372</v>
      </c>
      <c r="AD18">
        <v>15.309999999999974</v>
      </c>
      <c r="AE18">
        <v>-6.8222000000000378</v>
      </c>
      <c r="AF18">
        <v>-1.9676000000000033</v>
      </c>
      <c r="AG18">
        <v>1.0000000000189857E-3</v>
      </c>
      <c r="AH18">
        <v>40.32080000000002</v>
      </c>
      <c r="AI18">
        <v>38.500799999999856</v>
      </c>
      <c r="AJ18">
        <v>-123.18859999999893</v>
      </c>
      <c r="AK18">
        <v>-162.32019999999932</v>
      </c>
      <c r="AL18">
        <v>-6.535900000000014</v>
      </c>
      <c r="AM18">
        <v>5.6115999999998536</v>
      </c>
      <c r="AN18">
        <v>51.382599999999854</v>
      </c>
      <c r="AO18">
        <v>-22.194000000000329</v>
      </c>
      <c r="AP18">
        <v>-31.372599999999956</v>
      </c>
      <c r="AQ18">
        <v>-1.7867999999999999</v>
      </c>
      <c r="AR18">
        <v>47.663533716225395</v>
      </c>
      <c r="AS18">
        <v>47.749214334109887</v>
      </c>
      <c r="AT18">
        <v>11.08142070071079</v>
      </c>
      <c r="AU18">
        <v>11.167101318595286</v>
      </c>
      <c r="AV18">
        <v>0.25912333654778114</v>
      </c>
      <c r="AW18">
        <v>3.3259591391985777</v>
      </c>
      <c r="AX18">
        <v>4.5271012006435747</v>
      </c>
      <c r="AY18">
        <v>8.0709312593451905</v>
      </c>
    </row>
    <row r="19" spans="1:51" x14ac:dyDescent="0.25">
      <c r="A19">
        <v>2007</v>
      </c>
      <c r="B19">
        <v>4.2263999999999591</v>
      </c>
      <c r="C19">
        <v>-5.9339000000000368</v>
      </c>
      <c r="D19">
        <v>-1.7114000000000686</v>
      </c>
      <c r="E19">
        <v>-2.9665000000000958</v>
      </c>
      <c r="F19">
        <v>1.3221999999999809</v>
      </c>
      <c r="G19">
        <v>-0.12859999999987792</v>
      </c>
      <c r="H19">
        <v>-1.4361000000000672</v>
      </c>
      <c r="I19">
        <v>-0.17310000000006198</v>
      </c>
      <c r="J19">
        <v>0.90599999999994196</v>
      </c>
      <c r="K19">
        <v>5.3743000000000549</v>
      </c>
      <c r="L19">
        <v>-2.2453000000000287</v>
      </c>
      <c r="M19">
        <v>-2.5298000000000194</v>
      </c>
      <c r="N19">
        <v>-0.17390000000000194</v>
      </c>
      <c r="O19">
        <v>-1.1661999999999968</v>
      </c>
      <c r="P19">
        <v>3.3799999999994945E-2</v>
      </c>
      <c r="Q19">
        <v>2.767799999999994</v>
      </c>
      <c r="R19">
        <v>-3.1163000000000061</v>
      </c>
      <c r="S19">
        <v>-1.0399999999999894</v>
      </c>
      <c r="T19">
        <v>0.79224599999999246</v>
      </c>
      <c r="U19">
        <v>-1.963400000000008</v>
      </c>
      <c r="V19">
        <v>-2.3757999999999981</v>
      </c>
      <c r="W19">
        <v>-1.0815999999999919</v>
      </c>
      <c r="X19">
        <v>-0.41460000000000274</v>
      </c>
      <c r="Y19">
        <v>0.83640000000000381</v>
      </c>
      <c r="Z19">
        <v>-202.82350000000201</v>
      </c>
      <c r="AA19">
        <v>228.81909999999868</v>
      </c>
      <c r="AB19">
        <v>51.114100000000235</v>
      </c>
      <c r="AC19">
        <v>78.332100000000651</v>
      </c>
      <c r="AD19">
        <v>-43.720000000000027</v>
      </c>
      <c r="AE19">
        <v>-1.2499000000000393</v>
      </c>
      <c r="AF19">
        <v>-0.92810000000000326</v>
      </c>
      <c r="AG19">
        <v>-0.74249999999998106</v>
      </c>
      <c r="AH19">
        <v>-19.228399999999979</v>
      </c>
      <c r="AI19">
        <v>-157.96340000000015</v>
      </c>
      <c r="AJ19">
        <v>66.320300000001112</v>
      </c>
      <c r="AK19">
        <v>81.202100000000655</v>
      </c>
      <c r="AL19">
        <v>3.1739999999999853</v>
      </c>
      <c r="AM19">
        <v>-6.1283000000001522</v>
      </c>
      <c r="AN19">
        <v>-44.357300000000151</v>
      </c>
      <c r="AO19">
        <v>-16.893000000000342</v>
      </c>
      <c r="AP19">
        <v>7.1733000000000473</v>
      </c>
      <c r="AQ19">
        <v>11.1244</v>
      </c>
      <c r="AR19">
        <v>47.56963291419698</v>
      </c>
      <c r="AS19">
        <v>46.74611941152029</v>
      </c>
      <c r="AT19">
        <v>11.291854503543206</v>
      </c>
      <c r="AU19">
        <v>10.468341000866527</v>
      </c>
      <c r="AV19">
        <v>0.33667032046327977</v>
      </c>
      <c r="AW19">
        <v>3.3591549969486212</v>
      </c>
      <c r="AX19">
        <v>4.2697486846895503</v>
      </c>
      <c r="AY19">
        <v>8.3257831208682536</v>
      </c>
    </row>
    <row r="20" spans="1:51" x14ac:dyDescent="0.25">
      <c r="A20">
        <v>2008</v>
      </c>
      <c r="B20">
        <v>2.5355999999999561</v>
      </c>
      <c r="C20">
        <v>0.54839999999996181</v>
      </c>
      <c r="D20">
        <v>-0.33160000000007273</v>
      </c>
      <c r="E20">
        <v>1.8029999999999049</v>
      </c>
      <c r="F20">
        <v>-3.2262000000000199</v>
      </c>
      <c r="G20">
        <v>1.826600000000127</v>
      </c>
      <c r="H20">
        <v>0.90559999999992158</v>
      </c>
      <c r="I20">
        <v>-2.7224000000000643</v>
      </c>
      <c r="J20">
        <v>-0.50900000000005718</v>
      </c>
      <c r="K20">
        <v>-2.5347999999999402</v>
      </c>
      <c r="L20">
        <v>-1.6982000000000284</v>
      </c>
      <c r="M20">
        <v>-0.6442000000000192</v>
      </c>
      <c r="N20">
        <v>-1.157300000000002</v>
      </c>
      <c r="O20">
        <v>5.1607000000000038</v>
      </c>
      <c r="P20">
        <v>0.28139999999999432</v>
      </c>
      <c r="Q20">
        <v>-2.2545000000000064</v>
      </c>
      <c r="R20">
        <v>-2.356400000000006</v>
      </c>
      <c r="S20">
        <v>9.2300000000011373E-2</v>
      </c>
      <c r="T20">
        <v>1.5122439999999919</v>
      </c>
      <c r="U20">
        <v>-0.27390000000000825</v>
      </c>
      <c r="V20">
        <v>4.8732000000000024</v>
      </c>
      <c r="W20">
        <v>-1.8325999999999913</v>
      </c>
      <c r="X20">
        <v>0.16099999999999692</v>
      </c>
      <c r="Y20">
        <v>2.7583000000000037</v>
      </c>
      <c r="Z20">
        <v>-158.85400000000209</v>
      </c>
      <c r="AA20">
        <v>49.592399999998634</v>
      </c>
      <c r="AB20">
        <v>0.57240000000024338</v>
      </c>
      <c r="AC20">
        <v>-58.075599999999326</v>
      </c>
      <c r="AD20">
        <v>77.249999999999972</v>
      </c>
      <c r="AE20">
        <v>-17.677600000000041</v>
      </c>
      <c r="AF20">
        <v>-1.8886000000000032</v>
      </c>
      <c r="AG20">
        <v>13.514000000000019</v>
      </c>
      <c r="AH20">
        <v>2.2224000000000217</v>
      </c>
      <c r="AI20">
        <v>72.572399999999845</v>
      </c>
      <c r="AJ20">
        <v>53.829200000001151</v>
      </c>
      <c r="AK20">
        <v>19.724400000000628</v>
      </c>
      <c r="AL20">
        <v>-15.116100000000015</v>
      </c>
      <c r="AM20">
        <v>40.131799999999842</v>
      </c>
      <c r="AN20">
        <v>22.902799999999843</v>
      </c>
      <c r="AO20">
        <v>-79.592000000000354</v>
      </c>
      <c r="AP20">
        <v>-11.28079999999995</v>
      </c>
      <c r="AQ20">
        <v>-1.9643999999999999</v>
      </c>
      <c r="AR20">
        <v>44.973069250911145</v>
      </c>
      <c r="AS20">
        <v>44.340723637161659</v>
      </c>
      <c r="AT20">
        <v>10.093072782062062</v>
      </c>
      <c r="AU20">
        <v>9.4607271683125802</v>
      </c>
      <c r="AV20">
        <v>0.33311453047792322</v>
      </c>
      <c r="AW20">
        <v>3.3791616265838145</v>
      </c>
      <c r="AX20">
        <v>3.9295184838279167</v>
      </c>
      <c r="AY20">
        <v>8.1549968027739475</v>
      </c>
    </row>
    <row r="21" spans="1:51" x14ac:dyDescent="0.25">
      <c r="A21">
        <v>2009</v>
      </c>
      <c r="B21">
        <v>-6.2552000000000447</v>
      </c>
      <c r="C21">
        <v>0.930699999999959</v>
      </c>
      <c r="D21">
        <v>-5.1800000000078228E-2</v>
      </c>
      <c r="E21">
        <v>1.4724999999998971</v>
      </c>
      <c r="F21">
        <v>-0.57460000000002509</v>
      </c>
      <c r="G21">
        <v>-2.8181999999998624</v>
      </c>
      <c r="H21">
        <v>-3.7527000000000754</v>
      </c>
      <c r="I21">
        <v>1.128299999999939</v>
      </c>
      <c r="J21">
        <v>-2.9240000000000563</v>
      </c>
      <c r="K21">
        <v>-3.1438999999999382</v>
      </c>
      <c r="L21">
        <v>3.7488999999999706</v>
      </c>
      <c r="M21">
        <v>-2.858600000000024</v>
      </c>
      <c r="N21">
        <v>-0.61070000000000224</v>
      </c>
      <c r="O21">
        <v>-1.7023999999999964</v>
      </c>
      <c r="P21">
        <v>-2.9010000000000056</v>
      </c>
      <c r="Q21">
        <v>-1.9168000000000065</v>
      </c>
      <c r="R21">
        <v>-1.1265000000000063</v>
      </c>
      <c r="S21">
        <v>2.3246000000000118</v>
      </c>
      <c r="T21">
        <v>4.6722419999999918</v>
      </c>
      <c r="U21">
        <v>-0.47440000000000904</v>
      </c>
      <c r="V21">
        <v>-2.227799999999998</v>
      </c>
      <c r="W21">
        <v>1.176400000000009</v>
      </c>
      <c r="X21">
        <v>-0.70340000000000291</v>
      </c>
      <c r="Y21">
        <v>1.3002000000000038</v>
      </c>
      <c r="Z21">
        <v>111.11549999999784</v>
      </c>
      <c r="AA21">
        <v>41.365699999998583</v>
      </c>
      <c r="AB21">
        <v>3.0307000000002517</v>
      </c>
      <c r="AC21">
        <v>-53.483299999999304</v>
      </c>
      <c r="AD21">
        <v>5.2199999999999704</v>
      </c>
      <c r="AE21">
        <v>36.894699999999958</v>
      </c>
      <c r="AF21">
        <v>9.1508999999999965</v>
      </c>
      <c r="AG21">
        <v>-5.2294999999999812</v>
      </c>
      <c r="AH21">
        <v>46.673200000000023</v>
      </c>
      <c r="AI21">
        <v>88.10819999999984</v>
      </c>
      <c r="AJ21">
        <v>-110.66189999999881</v>
      </c>
      <c r="AK21">
        <v>90.246700000000601</v>
      </c>
      <c r="AL21">
        <v>-5.4062000000000161</v>
      </c>
      <c r="AM21">
        <v>-50.608100000000164</v>
      </c>
      <c r="AN21">
        <v>-105.83710000000016</v>
      </c>
      <c r="AO21">
        <v>23.708999999999634</v>
      </c>
      <c r="AP21">
        <v>-36.734899999999946</v>
      </c>
      <c r="AQ21">
        <v>-2.0531999999999999</v>
      </c>
      <c r="AR21">
        <v>45.72989793155314</v>
      </c>
      <c r="AS21">
        <v>42.318450241056084</v>
      </c>
      <c r="AT21">
        <v>11.454199128109076</v>
      </c>
      <c r="AU21">
        <v>8.0427514376120239</v>
      </c>
      <c r="AV21">
        <v>0.30589273555852953</v>
      </c>
      <c r="AW21">
        <v>3.2950506892048019</v>
      </c>
      <c r="AX21">
        <v>3.9354200446839083</v>
      </c>
      <c r="AY21">
        <v>8.195432345164976</v>
      </c>
    </row>
    <row r="22" spans="1:51" x14ac:dyDescent="0.25">
      <c r="A22">
        <v>2010</v>
      </c>
      <c r="B22">
        <v>-0.34600000000004627</v>
      </c>
      <c r="C22">
        <v>0.51299999999995904</v>
      </c>
      <c r="D22">
        <v>6.127999999999922</v>
      </c>
      <c r="E22">
        <v>4.1419999999998964</v>
      </c>
      <c r="F22">
        <v>2.4769999999999754</v>
      </c>
      <c r="G22">
        <v>2.0370000000001482</v>
      </c>
      <c r="H22">
        <v>2.5889999999999134</v>
      </c>
      <c r="I22">
        <v>0.37899999999993383</v>
      </c>
      <c r="J22">
        <v>1.560999999999936</v>
      </c>
      <c r="K22">
        <v>4.7000000000060993E-2</v>
      </c>
      <c r="L22">
        <v>-0.40400000000003189</v>
      </c>
      <c r="M22">
        <v>-4.8730000000000295</v>
      </c>
      <c r="N22">
        <v>-0.67410000000000236</v>
      </c>
      <c r="O22">
        <v>1.3245000000000036</v>
      </c>
      <c r="P22">
        <v>4.6765999999999934</v>
      </c>
      <c r="Q22">
        <v>-4.1991000000000067</v>
      </c>
      <c r="R22">
        <v>-2.1166000000000067</v>
      </c>
      <c r="S22">
        <v>-1.2730999999999884</v>
      </c>
      <c r="T22">
        <v>-0.61776000000000897</v>
      </c>
      <c r="U22">
        <v>-0.66490000000000915</v>
      </c>
      <c r="V22">
        <v>-1.6087999999999978</v>
      </c>
      <c r="W22">
        <v>0.53540000000000898</v>
      </c>
      <c r="X22">
        <v>2.1999999999966491E-3</v>
      </c>
      <c r="Y22">
        <v>0.34210000000000296</v>
      </c>
      <c r="Z22">
        <v>-66.915000000002237</v>
      </c>
      <c r="AA22">
        <v>57.138999999998532</v>
      </c>
      <c r="AB22">
        <v>-190.51099999999974</v>
      </c>
      <c r="AC22">
        <v>-132.89099999999928</v>
      </c>
      <c r="AD22">
        <v>-72.810000000000031</v>
      </c>
      <c r="AE22">
        <v>-17.533000000000044</v>
      </c>
      <c r="AF22">
        <v>-1.809600000000003</v>
      </c>
      <c r="AG22">
        <v>-1.9729999999999812</v>
      </c>
      <c r="AH22">
        <v>-28.875999999999976</v>
      </c>
      <c r="AI22">
        <v>-11.356000000000165</v>
      </c>
      <c r="AJ22">
        <v>8.8470000000012305</v>
      </c>
      <c r="AK22">
        <v>153.76900000000057</v>
      </c>
      <c r="AL22">
        <v>12.303699999999983</v>
      </c>
      <c r="AM22">
        <v>46.65199999999983</v>
      </c>
      <c r="AN22">
        <v>79.422999999999831</v>
      </c>
      <c r="AO22">
        <v>3.0099999999996214</v>
      </c>
      <c r="AP22">
        <v>19.811000000000057</v>
      </c>
      <c r="AQ22">
        <v>-2.1419999999999999</v>
      </c>
      <c r="AR22">
        <v>45.699993097765386</v>
      </c>
      <c r="AS22">
        <v>42.936389907855798</v>
      </c>
      <c r="AT22">
        <v>11.964953399116686</v>
      </c>
      <c r="AU22">
        <v>9.2013502092070993</v>
      </c>
      <c r="AV22">
        <v>0.29743191363463822</v>
      </c>
      <c r="AW22">
        <v>3.3695286810881919</v>
      </c>
      <c r="AX22">
        <v>3.9022659996429252</v>
      </c>
      <c r="AY22">
        <v>7.6509623343306243</v>
      </c>
    </row>
    <row r="23" spans="1:51" x14ac:dyDescent="0.25">
      <c r="A23">
        <v>2011</v>
      </c>
      <c r="B23">
        <v>-4.2368000000000485</v>
      </c>
      <c r="C23">
        <v>-2.2047000000000416</v>
      </c>
      <c r="D23">
        <v>0.10779999999991929</v>
      </c>
      <c r="E23">
        <v>1.0114999999998915</v>
      </c>
      <c r="F23">
        <v>1.2285999999999788</v>
      </c>
      <c r="G23">
        <v>-7.7999999998468184E-3</v>
      </c>
      <c r="H23">
        <v>1.5306999999999107</v>
      </c>
      <c r="I23">
        <v>0.12969999999992865</v>
      </c>
      <c r="J23">
        <v>2.2459999999999525</v>
      </c>
      <c r="K23">
        <v>0.53790000000006444</v>
      </c>
      <c r="L23">
        <v>3.5430999999999671</v>
      </c>
      <c r="M23">
        <v>3.7125999999999664</v>
      </c>
      <c r="N23">
        <v>-0.2575000000000025</v>
      </c>
      <c r="O23">
        <v>0.65140000000000375</v>
      </c>
      <c r="P23">
        <v>-0.55580000000000584</v>
      </c>
      <c r="Q23">
        <v>-0.41140000000000754</v>
      </c>
      <c r="R23">
        <v>-0.20670000000000677</v>
      </c>
      <c r="S23">
        <v>1.4992000000000125</v>
      </c>
      <c r="T23">
        <v>-1.9777620000000091</v>
      </c>
      <c r="U23">
        <v>7.3045999999999909</v>
      </c>
      <c r="V23">
        <v>3.5302000000000024</v>
      </c>
      <c r="W23">
        <v>0.63440000000000918</v>
      </c>
      <c r="X23">
        <v>0.25779999999999648</v>
      </c>
      <c r="Y23">
        <v>0.28400000000000336</v>
      </c>
      <c r="Z23">
        <v>48.054499999997688</v>
      </c>
      <c r="AA23">
        <v>130.91229999999848</v>
      </c>
      <c r="AB23">
        <v>-9.0526999999997315</v>
      </c>
      <c r="AC23">
        <v>-41.298699999999258</v>
      </c>
      <c r="AD23">
        <v>-41.840000000000032</v>
      </c>
      <c r="AE23">
        <v>-2.9607000000000454</v>
      </c>
      <c r="AF23">
        <v>-1.7701000000000029</v>
      </c>
      <c r="AG23">
        <v>-1.7164999999999813</v>
      </c>
      <c r="AH23">
        <v>-37.425199999999975</v>
      </c>
      <c r="AI23">
        <v>-29.82020000000017</v>
      </c>
      <c r="AJ23">
        <v>-106.64409999999873</v>
      </c>
      <c r="AK23">
        <v>-115.70869999999945</v>
      </c>
      <c r="AL23">
        <v>3.0135999999999825</v>
      </c>
      <c r="AM23">
        <v>-8.7900000000175282E-2</v>
      </c>
      <c r="AN23">
        <v>47.683099999999826</v>
      </c>
      <c r="AO23">
        <v>-0.68900000000039086</v>
      </c>
      <c r="AP23">
        <v>31.35690000000006</v>
      </c>
      <c r="AQ23">
        <v>-2.2307999999999999</v>
      </c>
      <c r="AR23">
        <v>43.922020233600058</v>
      </c>
      <c r="AS23">
        <v>41.643193317810152</v>
      </c>
      <c r="AT23">
        <v>10.461509104253894</v>
      </c>
      <c r="AU23">
        <v>8.1826821884639784</v>
      </c>
      <c r="AV23">
        <v>0.25157861066698428</v>
      </c>
      <c r="AW23">
        <v>3.6032540009587359</v>
      </c>
      <c r="AX23">
        <v>4.039306005740154</v>
      </c>
      <c r="AY23">
        <v>7.2901752699753501</v>
      </c>
    </row>
    <row r="24" spans="1:51" x14ac:dyDescent="0.25">
      <c r="A24">
        <v>2012</v>
      </c>
      <c r="B24">
        <v>4.1723999999999499</v>
      </c>
      <c r="C24">
        <v>5.6775999999999556</v>
      </c>
      <c r="D24">
        <v>8.8875999999999138</v>
      </c>
      <c r="E24">
        <v>1.7809999999998922</v>
      </c>
      <c r="F24">
        <v>3.0801999999999765</v>
      </c>
      <c r="G24">
        <v>-0.55259999999984188</v>
      </c>
      <c r="H24">
        <v>1.472399999999908</v>
      </c>
      <c r="I24">
        <v>1.2803999999999292</v>
      </c>
      <c r="J24">
        <v>-0.96900000000005093</v>
      </c>
      <c r="K24">
        <v>1.7288000000000707</v>
      </c>
      <c r="L24">
        <v>-3.009800000000034</v>
      </c>
      <c r="M24">
        <v>2.598199999999963</v>
      </c>
      <c r="N24">
        <v>-0.76090000000000257</v>
      </c>
      <c r="O24">
        <v>-2.1016999999999957</v>
      </c>
      <c r="P24">
        <v>-4.0182000000000064</v>
      </c>
      <c r="Q24">
        <v>-2.9637000000000073</v>
      </c>
      <c r="R24">
        <v>-1.1568000000000072</v>
      </c>
      <c r="S24">
        <v>-0.36849999999998762</v>
      </c>
      <c r="T24">
        <v>-0.36776400000000953</v>
      </c>
      <c r="U24">
        <v>-0.41590000000000993</v>
      </c>
      <c r="V24">
        <v>1.1392000000000024</v>
      </c>
      <c r="W24">
        <v>-0.63659999999998984</v>
      </c>
      <c r="X24">
        <v>-2.4466000000000037</v>
      </c>
      <c r="Y24">
        <v>0.42590000000000305</v>
      </c>
      <c r="Z24">
        <v>-218.97600000000239</v>
      </c>
      <c r="AA24">
        <v>-85.314400000001569</v>
      </c>
      <c r="AB24">
        <v>-270.59439999999972</v>
      </c>
      <c r="AC24">
        <v>-68.706399999999235</v>
      </c>
      <c r="AD24">
        <v>-82.870000000000033</v>
      </c>
      <c r="AE24">
        <v>3.6115999999999531</v>
      </c>
      <c r="AF24">
        <v>-1.7306000000000028</v>
      </c>
      <c r="AG24">
        <v>-4.4599999999999813</v>
      </c>
      <c r="AH24">
        <v>7.0256000000000256</v>
      </c>
      <c r="AI24">
        <v>-63.284400000000176</v>
      </c>
      <c r="AJ24">
        <v>94.86480000000131</v>
      </c>
      <c r="AK24">
        <v>-80.18639999999948</v>
      </c>
      <c r="AL24">
        <v>16.723499999999984</v>
      </c>
      <c r="AM24">
        <v>-10.827800000000181</v>
      </c>
      <c r="AN24">
        <v>40.94319999999982</v>
      </c>
      <c r="AO24">
        <v>30.611999999999597</v>
      </c>
      <c r="AP24">
        <v>-15.097199999999937</v>
      </c>
      <c r="AQ24">
        <v>-0.31959999999999988</v>
      </c>
      <c r="AR24">
        <v>41.69824574952532</v>
      </c>
      <c r="AS24">
        <v>41.040044987909418</v>
      </c>
      <c r="AT24">
        <v>9.6302283298383689</v>
      </c>
      <c r="AU24">
        <v>8.9720275682224653</v>
      </c>
      <c r="AV24">
        <v>0.25598749388393144</v>
      </c>
      <c r="AW24">
        <v>3.259203644237028</v>
      </c>
      <c r="AX24">
        <v>3.9877001137314996</v>
      </c>
      <c r="AY24">
        <v>6.7295098940802003</v>
      </c>
    </row>
    <row r="25" spans="1:51" x14ac:dyDescent="0.25">
      <c r="A25">
        <v>2013</v>
      </c>
      <c r="B25">
        <v>1.1815999999999498</v>
      </c>
      <c r="C25">
        <v>-0.14010000000004652</v>
      </c>
      <c r="D25">
        <v>-0.93260000000008603</v>
      </c>
      <c r="E25">
        <v>-0.64950000000011698</v>
      </c>
      <c r="F25">
        <v>-0.36820000000002295</v>
      </c>
      <c r="G25">
        <v>0.70260000000016021</v>
      </c>
      <c r="H25">
        <v>3.2140999999999167</v>
      </c>
      <c r="I25">
        <v>-2.0689000000000703</v>
      </c>
      <c r="J25">
        <v>-2.9840000000000444</v>
      </c>
      <c r="K25">
        <v>0.31970000000006848</v>
      </c>
      <c r="L25">
        <v>-2.6627000000000365</v>
      </c>
      <c r="M25">
        <v>-2.416200000000039</v>
      </c>
      <c r="N25">
        <v>-1.9043000000000025</v>
      </c>
      <c r="O25">
        <v>0.42520000000000424</v>
      </c>
      <c r="P25">
        <v>-2.9906000000000064</v>
      </c>
      <c r="Q25">
        <v>-4.5060000000000073</v>
      </c>
      <c r="R25">
        <v>-0.64690000000000758</v>
      </c>
      <c r="S25">
        <v>5.9138000000000126</v>
      </c>
      <c r="T25">
        <v>-0.47776600000000968</v>
      </c>
      <c r="U25">
        <v>-0.35640000000001049</v>
      </c>
      <c r="V25">
        <v>-1.4517999999999978</v>
      </c>
      <c r="W25">
        <v>-3.6675999999999895</v>
      </c>
      <c r="X25">
        <v>0.51899999999999658</v>
      </c>
      <c r="Y25">
        <v>-0.65219999999999745</v>
      </c>
      <c r="Z25">
        <v>-129.00650000000246</v>
      </c>
      <c r="AA25">
        <v>80.45889999999838</v>
      </c>
      <c r="AB25">
        <v>21.863900000000285</v>
      </c>
      <c r="AC25">
        <v>4.8859000000007882</v>
      </c>
      <c r="AD25">
        <v>-1.9000000000000341</v>
      </c>
      <c r="AE25">
        <v>-7.8161000000000485</v>
      </c>
      <c r="AF25">
        <v>-1.6911000000000027</v>
      </c>
      <c r="AG25">
        <v>8.7965000000000195</v>
      </c>
      <c r="AH25">
        <v>44.476400000000027</v>
      </c>
      <c r="AI25">
        <v>-26.748600000000181</v>
      </c>
      <c r="AJ25">
        <v>78.37370000000135</v>
      </c>
      <c r="AK25">
        <v>72.335900000000493</v>
      </c>
      <c r="AL25">
        <v>-5.5666000000000153</v>
      </c>
      <c r="AM25">
        <v>14.432299999999813</v>
      </c>
      <c r="AN25">
        <v>97.203299999999814</v>
      </c>
      <c r="AO25">
        <v>-65.087000000000415</v>
      </c>
      <c r="AP25">
        <v>-39.551299999999934</v>
      </c>
      <c r="AQ25">
        <v>-2.4083999999999999</v>
      </c>
      <c r="AR25">
        <v>42.792904087170513</v>
      </c>
      <c r="AS25">
        <v>42.036201146397715</v>
      </c>
      <c r="AT25">
        <v>9.4730563839953703</v>
      </c>
      <c r="AU25">
        <v>8.716353443222582</v>
      </c>
      <c r="AV25">
        <v>0.25339412560474739</v>
      </c>
      <c r="AW25">
        <v>3.5865518712479809</v>
      </c>
      <c r="AX25">
        <v>4.2485847006549156</v>
      </c>
      <c r="AY25">
        <v>7.3374776234823171</v>
      </c>
    </row>
    <row r="26" spans="1:51" x14ac:dyDescent="0.25">
      <c r="A26">
        <v>2014</v>
      </c>
      <c r="B26">
        <v>-4.109200000000051</v>
      </c>
      <c r="C26">
        <v>-4.3578000000000472</v>
      </c>
      <c r="D26">
        <v>-6.3528000000000873</v>
      </c>
      <c r="E26">
        <v>-1.2800000000001148</v>
      </c>
      <c r="F26">
        <v>-0.31660000000002952</v>
      </c>
      <c r="G26">
        <v>-0.24219999999984054</v>
      </c>
      <c r="H26">
        <v>-0.84420000000008599</v>
      </c>
      <c r="I26">
        <v>-2.4182000000000698</v>
      </c>
      <c r="J26">
        <v>-0.89900000000003644</v>
      </c>
      <c r="K26">
        <v>0.91060000000007335</v>
      </c>
      <c r="L26">
        <v>-2.8156000000000319</v>
      </c>
      <c r="M26">
        <v>1.8693999999999562</v>
      </c>
      <c r="N26">
        <v>-0.82770000000000277</v>
      </c>
      <c r="O26">
        <v>0.22210000000000418</v>
      </c>
      <c r="P26">
        <v>-1.1430000000000069</v>
      </c>
      <c r="Q26">
        <v>-1.6483000000000079</v>
      </c>
      <c r="R26">
        <v>-0.34700000000000752</v>
      </c>
      <c r="S26">
        <v>-2.2938999999999865</v>
      </c>
      <c r="T26">
        <v>0.69223199999998997</v>
      </c>
      <c r="U26">
        <v>-1.236900000000011</v>
      </c>
      <c r="V26">
        <v>-2.9227999999999978</v>
      </c>
      <c r="W26">
        <v>-0.38859999999998962</v>
      </c>
      <c r="X26">
        <v>1.0445999999999964</v>
      </c>
      <c r="Y26">
        <v>0.5497000000000023</v>
      </c>
      <c r="Z26">
        <v>32.962999999997464</v>
      </c>
      <c r="AA26">
        <v>197.23219999999833</v>
      </c>
      <c r="AB26">
        <v>184.32220000000029</v>
      </c>
      <c r="AC26">
        <v>26.478200000000811</v>
      </c>
      <c r="AD26">
        <v>-7.9300000000000352</v>
      </c>
      <c r="AE26">
        <v>0.75619999999995002</v>
      </c>
      <c r="AF26">
        <v>-1.6516000000000026</v>
      </c>
      <c r="AG26">
        <v>11.053000000000019</v>
      </c>
      <c r="AH26">
        <v>3.9272000000000276</v>
      </c>
      <c r="AI26">
        <v>-44.212800000000186</v>
      </c>
      <c r="AJ26">
        <v>83.882600000001389</v>
      </c>
      <c r="AK26">
        <v>-54.141799999999535</v>
      </c>
      <c r="AL26">
        <v>-3.8567000000000142</v>
      </c>
      <c r="AM26">
        <v>-6.3076000000001926</v>
      </c>
      <c r="AN26">
        <v>-24.536600000000192</v>
      </c>
      <c r="AO26">
        <v>-73.786000000000428</v>
      </c>
      <c r="AP26">
        <v>-14.005399999999938</v>
      </c>
      <c r="AQ26">
        <v>-0.49719999999999986</v>
      </c>
      <c r="AR26">
        <v>43.477042228209342</v>
      </c>
      <c r="AS26">
        <v>42.11111531524547</v>
      </c>
      <c r="AT26">
        <v>9.8118162788426488</v>
      </c>
      <c r="AU26">
        <v>8.4458893658787755</v>
      </c>
      <c r="AV26">
        <v>0.25219858102534487</v>
      </c>
      <c r="AW26">
        <v>3.8163775257146941</v>
      </c>
      <c r="AX26">
        <v>4.1956291755094357</v>
      </c>
      <c r="AY26">
        <v>7.592732053934327</v>
      </c>
    </row>
    <row r="27" spans="1:51" x14ac:dyDescent="0.25">
      <c r="A27">
        <v>2015</v>
      </c>
      <c r="B27">
        <v>-4.5000000000000533</v>
      </c>
      <c r="C27">
        <v>-13.575500000000048</v>
      </c>
      <c r="D27">
        <v>-5.9730000000000913</v>
      </c>
      <c r="E27">
        <v>-1.0105000000001212</v>
      </c>
      <c r="F27">
        <v>4.0349999999999753</v>
      </c>
      <c r="G27">
        <v>-1.7869999999998356</v>
      </c>
      <c r="H27">
        <v>-0.60250000000009152</v>
      </c>
      <c r="I27">
        <v>1.1324999999999221</v>
      </c>
      <c r="J27">
        <v>3.1859999999999644</v>
      </c>
      <c r="K27">
        <v>-1.8984999999999275</v>
      </c>
      <c r="L27">
        <v>3.5314999999999657</v>
      </c>
      <c r="M27">
        <v>9.8549999999999542</v>
      </c>
      <c r="N27">
        <v>-0.16110000000000246</v>
      </c>
      <c r="O27">
        <v>-1.1909999999999958</v>
      </c>
      <c r="P27">
        <v>-2.335400000000007</v>
      </c>
      <c r="Q27">
        <v>-3.3206000000000078</v>
      </c>
      <c r="R27">
        <v>-3.9471000000000078</v>
      </c>
      <c r="S27">
        <v>1.6284000000000134</v>
      </c>
      <c r="T27">
        <v>-1.3377700000000101</v>
      </c>
      <c r="U27">
        <v>-2.1574000000000111</v>
      </c>
      <c r="V27">
        <v>-0.71379999999999733</v>
      </c>
      <c r="W27">
        <v>-1.7795999999999892</v>
      </c>
      <c r="X27">
        <v>-0.81980000000000386</v>
      </c>
      <c r="Y27">
        <v>-0.21839999999999815</v>
      </c>
      <c r="Z27">
        <v>38.93249999999739</v>
      </c>
      <c r="AA27">
        <v>456.00549999999828</v>
      </c>
      <c r="AB27">
        <v>176.7805000000003</v>
      </c>
      <c r="AC27">
        <v>14.070500000000834</v>
      </c>
      <c r="AD27">
        <v>-97.960000000000036</v>
      </c>
      <c r="AE27">
        <v>19.328499999999948</v>
      </c>
      <c r="AF27">
        <v>-1.6121000000000025</v>
      </c>
      <c r="AG27">
        <v>-3.6904999999999815</v>
      </c>
      <c r="AH27">
        <v>-45.621999999999971</v>
      </c>
      <c r="AI27">
        <v>34.322999999999809</v>
      </c>
      <c r="AJ27">
        <v>-104.60849999999857</v>
      </c>
      <c r="AK27">
        <v>-303.61949999999956</v>
      </c>
      <c r="AL27">
        <v>25.853199999999987</v>
      </c>
      <c r="AM27">
        <v>-33.047500000000198</v>
      </c>
      <c r="AN27">
        <v>-15.276500000000169</v>
      </c>
      <c r="AO27">
        <v>25.51499999999956</v>
      </c>
      <c r="AP27">
        <v>54.540500000000065</v>
      </c>
      <c r="AQ27">
        <v>-2.5859999999999999</v>
      </c>
      <c r="AR27">
        <v>45.273153388990714</v>
      </c>
      <c r="AS27">
        <v>43.363045364635447</v>
      </c>
      <c r="AT27">
        <v>10.950615190338448</v>
      </c>
      <c r="AU27">
        <v>9.0405071659831808</v>
      </c>
      <c r="AV27">
        <v>0.25938868920717467</v>
      </c>
      <c r="AW27">
        <v>4.3366759475936449</v>
      </c>
      <c r="AX27">
        <v>4.0723360328795728</v>
      </c>
      <c r="AY27">
        <v>7.7733156560086405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7"/>
  <sheetViews>
    <sheetView workbookViewId="0">
      <selection activeCell="S2" sqref="S2"/>
    </sheetView>
  </sheetViews>
  <sheetFormatPr defaultRowHeight="15" x14ac:dyDescent="0.25"/>
  <sheetData>
    <row r="1" spans="1:1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12</v>
      </c>
      <c r="N1" t="s">
        <v>13</v>
      </c>
    </row>
    <row r="2" spans="1:18" x14ac:dyDescent="0.25">
      <c r="A2">
        <v>1990</v>
      </c>
      <c r="B2">
        <v>8.9</v>
      </c>
      <c r="C2">
        <v>6.3</v>
      </c>
      <c r="D2">
        <v>3.2</v>
      </c>
      <c r="E2">
        <v>1.17</v>
      </c>
      <c r="F2">
        <v>0.01</v>
      </c>
      <c r="G2">
        <v>-1.46</v>
      </c>
      <c r="H2">
        <v>1.1000000000000001</v>
      </c>
      <c r="I2">
        <v>0.8</v>
      </c>
      <c r="J2">
        <v>1.9</v>
      </c>
      <c r="K2">
        <v>44.408780817796789</v>
      </c>
      <c r="L2">
        <v>44.62589612483152</v>
      </c>
      <c r="M2">
        <v>11.908703011635628</v>
      </c>
      <c r="N2">
        <v>12.125818318670358</v>
      </c>
      <c r="O2">
        <f>AVERAGE(K2:K27)</f>
        <v>46.628912000511882</v>
      </c>
      <c r="P2">
        <f t="shared" ref="P2:R2" si="0">AVERAGE(L2:L27)</f>
        <v>45.657713212845685</v>
      </c>
      <c r="Q2">
        <f t="shared" si="0"/>
        <v>11.347409279953951</v>
      </c>
      <c r="R2">
        <f t="shared" si="0"/>
        <v>10.376210492287747</v>
      </c>
    </row>
    <row r="3" spans="1:18" x14ac:dyDescent="0.25">
      <c r="A3">
        <v>1991</v>
      </c>
      <c r="B3">
        <v>1.3</v>
      </c>
      <c r="C3">
        <v>6.6</v>
      </c>
      <c r="D3">
        <v>4</v>
      </c>
      <c r="E3">
        <v>-0.88</v>
      </c>
      <c r="F3">
        <v>-1.28</v>
      </c>
      <c r="G3">
        <v>0.88</v>
      </c>
      <c r="H3">
        <v>2.6</v>
      </c>
      <c r="I3">
        <v>0.9</v>
      </c>
      <c r="J3">
        <v>2.1</v>
      </c>
      <c r="K3">
        <v>44.19188050607449</v>
      </c>
      <c r="L3">
        <v>43.95194370501013</v>
      </c>
      <c r="M3">
        <v>12.015808424267215</v>
      </c>
      <c r="N3">
        <v>11.775871623202862</v>
      </c>
    </row>
    <row r="4" spans="1:18" x14ac:dyDescent="0.25">
      <c r="A4">
        <v>1992</v>
      </c>
      <c r="B4">
        <v>2.9</v>
      </c>
      <c r="C4">
        <v>3.5</v>
      </c>
      <c r="D4">
        <v>-1.8</v>
      </c>
      <c r="E4">
        <v>-1.04</v>
      </c>
      <c r="F4">
        <v>-1.17</v>
      </c>
      <c r="G4">
        <v>0.13</v>
      </c>
      <c r="H4">
        <v>-1.1000000000000001</v>
      </c>
      <c r="I4">
        <v>-2.2999999999999998</v>
      </c>
      <c r="J4">
        <v>-1.5</v>
      </c>
      <c r="K4">
        <v>46.141380281769344</v>
      </c>
      <c r="L4">
        <v>44.63046124308768</v>
      </c>
      <c r="M4">
        <v>11.282675657441759</v>
      </c>
      <c r="N4">
        <v>9.7717566187600919</v>
      </c>
    </row>
    <row r="5" spans="1:18" x14ac:dyDescent="0.25">
      <c r="A5">
        <v>1993</v>
      </c>
      <c r="B5">
        <v>3.9</v>
      </c>
      <c r="C5">
        <v>-3.2</v>
      </c>
      <c r="D5">
        <v>-2.2999999999999998</v>
      </c>
      <c r="E5">
        <v>-1</v>
      </c>
      <c r="F5">
        <v>-0.34</v>
      </c>
      <c r="G5">
        <v>2.41</v>
      </c>
      <c r="H5">
        <v>0.9</v>
      </c>
      <c r="I5">
        <v>1.8</v>
      </c>
      <c r="J5">
        <v>2.6</v>
      </c>
      <c r="K5">
        <v>44.480507494266313</v>
      </c>
      <c r="L5">
        <v>42.902404236550595</v>
      </c>
      <c r="M5">
        <v>10.22866671361591</v>
      </c>
      <c r="N5">
        <v>8.650563455900194</v>
      </c>
    </row>
    <row r="6" spans="1:18" x14ac:dyDescent="0.25">
      <c r="A6">
        <v>1994</v>
      </c>
      <c r="B6">
        <v>-6.7</v>
      </c>
      <c r="C6">
        <v>-3.5</v>
      </c>
      <c r="D6">
        <v>-0.2</v>
      </c>
      <c r="E6">
        <v>1.94</v>
      </c>
      <c r="F6">
        <v>-0.45</v>
      </c>
      <c r="G6">
        <v>1.7</v>
      </c>
      <c r="H6">
        <v>3.4</v>
      </c>
      <c r="I6">
        <v>4.3</v>
      </c>
      <c r="J6">
        <v>-0.2</v>
      </c>
      <c r="K6">
        <v>44.253956490308525</v>
      </c>
      <c r="L6">
        <v>42.371449558927942</v>
      </c>
      <c r="M6">
        <v>10.395885380019983</v>
      </c>
      <c r="N6">
        <v>8.5133784486393971</v>
      </c>
    </row>
    <row r="7" spans="1:18" x14ac:dyDescent="0.25">
      <c r="A7">
        <v>1995</v>
      </c>
      <c r="B7">
        <v>6.9</v>
      </c>
      <c r="C7">
        <v>-0.5</v>
      </c>
      <c r="D7">
        <v>3.9</v>
      </c>
      <c r="E7">
        <v>0.24</v>
      </c>
      <c r="F7">
        <v>-0.44</v>
      </c>
      <c r="G7">
        <v>-1.79</v>
      </c>
      <c r="H7">
        <v>1.6</v>
      </c>
      <c r="I7">
        <v>3.1</v>
      </c>
      <c r="J7">
        <v>1.7</v>
      </c>
      <c r="K7">
        <v>42.924934286898051</v>
      </c>
      <c r="L7">
        <v>42.34161012089119</v>
      </c>
      <c r="M7">
        <v>10.320433330320103</v>
      </c>
      <c r="N7">
        <v>9.7371091643132477</v>
      </c>
    </row>
    <row r="8" spans="1:18" x14ac:dyDescent="0.25">
      <c r="A8">
        <v>1996</v>
      </c>
      <c r="B8">
        <v>-0.2</v>
      </c>
      <c r="C8">
        <v>1.1000000000000001</v>
      </c>
      <c r="D8">
        <v>-2</v>
      </c>
      <c r="E8">
        <v>3</v>
      </c>
      <c r="F8">
        <v>-0.6</v>
      </c>
      <c r="G8">
        <v>-1.28</v>
      </c>
      <c r="H8">
        <v>1.7</v>
      </c>
      <c r="I8">
        <v>-1.3</v>
      </c>
      <c r="J8">
        <v>1.2</v>
      </c>
      <c r="K8">
        <v>45.166796134916574</v>
      </c>
      <c r="L8">
        <v>45.743162287544827</v>
      </c>
      <c r="M8">
        <v>10.734700429507201</v>
      </c>
      <c r="N8">
        <v>11.311066582135453</v>
      </c>
    </row>
    <row r="9" spans="1:18" x14ac:dyDescent="0.25">
      <c r="A9">
        <v>1997</v>
      </c>
      <c r="B9">
        <v>1.5</v>
      </c>
      <c r="C9">
        <v>7.6</v>
      </c>
      <c r="D9">
        <v>0.4</v>
      </c>
      <c r="E9">
        <v>0.18</v>
      </c>
      <c r="F9">
        <v>-1.21</v>
      </c>
      <c r="G9">
        <v>-0.08</v>
      </c>
      <c r="H9">
        <v>0.9</v>
      </c>
      <c r="I9">
        <v>0.1</v>
      </c>
      <c r="J9">
        <v>-0.2</v>
      </c>
      <c r="K9">
        <v>48.838702298609633</v>
      </c>
      <c r="L9">
        <v>50.144145289764367</v>
      </c>
      <c r="M9">
        <v>13.201969739517997</v>
      </c>
      <c r="N9">
        <v>14.507412730672725</v>
      </c>
    </row>
    <row r="10" spans="1:18" x14ac:dyDescent="0.25">
      <c r="A10">
        <v>1998</v>
      </c>
      <c r="B10">
        <v>7.7</v>
      </c>
      <c r="C10">
        <v>8.9</v>
      </c>
      <c r="D10">
        <v>3.9</v>
      </c>
      <c r="E10">
        <v>0.94</v>
      </c>
      <c r="F10">
        <v>0.69</v>
      </c>
      <c r="G10">
        <v>1.91</v>
      </c>
      <c r="H10">
        <v>-0.2</v>
      </c>
      <c r="I10">
        <v>0.5</v>
      </c>
      <c r="J10">
        <v>3</v>
      </c>
      <c r="K10">
        <v>47.294503783922437</v>
      </c>
      <c r="L10">
        <v>47.693873219998849</v>
      </c>
      <c r="M10">
        <v>12.948870196922446</v>
      </c>
      <c r="N10">
        <v>13.348239632998851</v>
      </c>
    </row>
    <row r="11" spans="1:18" x14ac:dyDescent="0.25">
      <c r="A11">
        <v>1999</v>
      </c>
      <c r="B11">
        <v>2</v>
      </c>
      <c r="C11">
        <v>5.4</v>
      </c>
      <c r="D11">
        <v>2</v>
      </c>
      <c r="E11">
        <v>3.57</v>
      </c>
      <c r="F11">
        <v>0.45</v>
      </c>
      <c r="G11">
        <v>1.23</v>
      </c>
      <c r="H11">
        <v>3.4</v>
      </c>
      <c r="I11">
        <v>4.0999999999999996</v>
      </c>
      <c r="J11">
        <v>1.2</v>
      </c>
      <c r="K11">
        <v>48.971648046952886</v>
      </c>
      <c r="L11">
        <v>48.908236966484935</v>
      </c>
      <c r="M11">
        <v>12.210133852255002</v>
      </c>
      <c r="N11">
        <v>12.146722771787049</v>
      </c>
    </row>
    <row r="12" spans="1:18" x14ac:dyDescent="0.25">
      <c r="A12">
        <v>2000</v>
      </c>
      <c r="B12">
        <v>-0.8</v>
      </c>
      <c r="C12">
        <v>5</v>
      </c>
      <c r="D12">
        <v>6.5</v>
      </c>
      <c r="E12">
        <v>-0.28000000000000003</v>
      </c>
      <c r="F12">
        <v>-0.69</v>
      </c>
      <c r="G12">
        <v>-0.08</v>
      </c>
      <c r="H12">
        <v>0.6</v>
      </c>
      <c r="I12">
        <v>-2.9</v>
      </c>
      <c r="J12">
        <v>-0.7</v>
      </c>
      <c r="K12">
        <v>49.65530365161824</v>
      </c>
      <c r="L12">
        <v>50.323403348930967</v>
      </c>
      <c r="M12">
        <v>11.989900612431979</v>
      </c>
      <c r="N12">
        <v>12.658000309744708</v>
      </c>
    </row>
    <row r="13" spans="1:18" x14ac:dyDescent="0.25">
      <c r="A13">
        <v>2001</v>
      </c>
      <c r="B13">
        <v>0.4</v>
      </c>
      <c r="C13">
        <v>3.2</v>
      </c>
      <c r="D13">
        <v>-1.3</v>
      </c>
      <c r="E13">
        <v>-1.28</v>
      </c>
      <c r="F13">
        <v>-0.72</v>
      </c>
      <c r="G13">
        <v>3.49</v>
      </c>
      <c r="H13">
        <v>2.7</v>
      </c>
      <c r="I13">
        <v>-2.5</v>
      </c>
      <c r="J13">
        <v>4.2</v>
      </c>
      <c r="K13">
        <v>49.976332775467526</v>
      </c>
      <c r="L13">
        <v>49.049107506480681</v>
      </c>
      <c r="M13">
        <v>12.343415698509945</v>
      </c>
      <c r="N13">
        <v>11.4161904295231</v>
      </c>
    </row>
    <row r="14" spans="1:18" x14ac:dyDescent="0.25">
      <c r="A14">
        <v>2002</v>
      </c>
      <c r="B14">
        <v>7.9</v>
      </c>
      <c r="C14">
        <v>7.8</v>
      </c>
      <c r="D14">
        <v>3.2</v>
      </c>
      <c r="E14">
        <v>-1.79</v>
      </c>
      <c r="F14">
        <v>-1.61</v>
      </c>
      <c r="G14">
        <v>-7.0000000000000007E-2</v>
      </c>
      <c r="H14">
        <v>0.1</v>
      </c>
      <c r="I14">
        <v>2.1</v>
      </c>
      <c r="J14">
        <v>3.3</v>
      </c>
      <c r="K14">
        <v>48.994755656283935</v>
      </c>
      <c r="L14">
        <v>47.390261616864528</v>
      </c>
      <c r="M14">
        <v>11.983738560961358</v>
      </c>
      <c r="N14">
        <v>10.379244521541946</v>
      </c>
    </row>
    <row r="15" spans="1:18" x14ac:dyDescent="0.25">
      <c r="A15">
        <v>2003</v>
      </c>
      <c r="B15">
        <v>-4</v>
      </c>
      <c r="C15">
        <v>-2.5</v>
      </c>
      <c r="D15">
        <v>0.6</v>
      </c>
      <c r="E15">
        <v>-1.08</v>
      </c>
      <c r="F15">
        <v>0.54</v>
      </c>
      <c r="G15">
        <v>0.11</v>
      </c>
      <c r="H15">
        <v>-0.7</v>
      </c>
      <c r="I15">
        <v>0.8</v>
      </c>
      <c r="J15">
        <v>3.6</v>
      </c>
      <c r="K15">
        <v>52.609510670346005</v>
      </c>
      <c r="L15">
        <v>49.903133185510285</v>
      </c>
      <c r="M15">
        <v>12.355896167381317</v>
      </c>
      <c r="N15">
        <v>9.6495186825455992</v>
      </c>
    </row>
    <row r="16" spans="1:18" x14ac:dyDescent="0.25">
      <c r="A16">
        <v>2004</v>
      </c>
      <c r="B16">
        <v>-6.7</v>
      </c>
      <c r="C16">
        <v>2.2000000000000002</v>
      </c>
      <c r="D16">
        <v>2.6</v>
      </c>
      <c r="E16">
        <v>-1.84</v>
      </c>
      <c r="F16">
        <v>-1.1100000000000001</v>
      </c>
      <c r="G16">
        <v>-1.22</v>
      </c>
      <c r="H16">
        <v>-0.4</v>
      </c>
      <c r="I16">
        <v>-0.7</v>
      </c>
      <c r="J16">
        <v>1</v>
      </c>
      <c r="K16">
        <v>53.638109347280235</v>
      </c>
      <c r="L16">
        <v>51.828640559967518</v>
      </c>
      <c r="M16">
        <v>12.228978878725954</v>
      </c>
      <c r="N16">
        <v>10.419510091413237</v>
      </c>
    </row>
    <row r="17" spans="1:14" x14ac:dyDescent="0.25">
      <c r="A17">
        <v>2005</v>
      </c>
      <c r="B17">
        <v>-1.1000000000000001</v>
      </c>
      <c r="C17">
        <v>3.4</v>
      </c>
      <c r="D17">
        <v>-3.1</v>
      </c>
      <c r="E17">
        <v>1.1200000000000001</v>
      </c>
      <c r="F17">
        <v>-0.79</v>
      </c>
      <c r="G17">
        <v>-0.18</v>
      </c>
      <c r="H17">
        <v>4.2</v>
      </c>
      <c r="I17">
        <v>1.7</v>
      </c>
      <c r="J17">
        <v>4.4000000000000004</v>
      </c>
      <c r="K17">
        <v>52.005117172650095</v>
      </c>
      <c r="L17">
        <v>51.008316899439876</v>
      </c>
      <c r="M17">
        <v>12.670138824478334</v>
      </c>
      <c r="N17">
        <v>11.673338551268115</v>
      </c>
    </row>
    <row r="18" spans="1:14" x14ac:dyDescent="0.25">
      <c r="A18">
        <v>2006</v>
      </c>
      <c r="B18">
        <v>8.3000000000000007</v>
      </c>
      <c r="C18">
        <v>3.2</v>
      </c>
      <c r="D18">
        <v>1.3</v>
      </c>
      <c r="E18">
        <v>2.1800000000000002</v>
      </c>
      <c r="F18">
        <v>-0.8</v>
      </c>
      <c r="G18">
        <v>-3.47</v>
      </c>
      <c r="H18">
        <v>1.7</v>
      </c>
      <c r="I18">
        <v>3.4</v>
      </c>
      <c r="J18">
        <v>1.2</v>
      </c>
      <c r="K18">
        <v>47.663533716225395</v>
      </c>
      <c r="L18">
        <v>47.749214334109887</v>
      </c>
      <c r="M18">
        <v>11.08142070071079</v>
      </c>
      <c r="N18">
        <v>11.167101318595286</v>
      </c>
    </row>
    <row r="19" spans="1:14" x14ac:dyDescent="0.25">
      <c r="A19">
        <v>2007</v>
      </c>
      <c r="B19">
        <v>5.9</v>
      </c>
      <c r="C19">
        <v>-3</v>
      </c>
      <c r="D19">
        <v>-0.3</v>
      </c>
      <c r="E19">
        <v>-0.3</v>
      </c>
      <c r="F19">
        <v>-1.27</v>
      </c>
      <c r="G19">
        <v>1.05</v>
      </c>
      <c r="H19">
        <v>1.2</v>
      </c>
      <c r="I19">
        <v>0.2</v>
      </c>
      <c r="J19">
        <v>1.7</v>
      </c>
      <c r="K19">
        <v>47.56963291419698</v>
      </c>
      <c r="L19">
        <v>46.74611941152029</v>
      </c>
      <c r="M19">
        <v>11.291854503543206</v>
      </c>
      <c r="N19">
        <v>10.468341000866527</v>
      </c>
    </row>
    <row r="20" spans="1:14" x14ac:dyDescent="0.25">
      <c r="A20">
        <v>2008</v>
      </c>
      <c r="B20">
        <v>4.3</v>
      </c>
      <c r="C20">
        <v>3.5</v>
      </c>
      <c r="D20">
        <v>1.1000000000000001</v>
      </c>
      <c r="E20">
        <v>-1.28</v>
      </c>
      <c r="F20">
        <v>5.0599999999999996</v>
      </c>
      <c r="G20">
        <v>1.32</v>
      </c>
      <c r="H20">
        <v>3.2</v>
      </c>
      <c r="I20">
        <v>2.6</v>
      </c>
      <c r="J20">
        <v>-0.8</v>
      </c>
      <c r="K20">
        <v>44.973069250911145</v>
      </c>
      <c r="L20">
        <v>44.340723637161659</v>
      </c>
      <c r="M20">
        <v>10.093072782062062</v>
      </c>
      <c r="N20">
        <v>9.4607271683125802</v>
      </c>
    </row>
    <row r="21" spans="1:14" x14ac:dyDescent="0.25">
      <c r="A21">
        <v>2009</v>
      </c>
      <c r="B21">
        <v>-4.4000000000000004</v>
      </c>
      <c r="C21">
        <v>3.9</v>
      </c>
      <c r="D21">
        <v>1.4</v>
      </c>
      <c r="E21">
        <v>-0.73</v>
      </c>
      <c r="F21">
        <v>-1.8</v>
      </c>
      <c r="G21">
        <v>-1.84</v>
      </c>
      <c r="H21">
        <v>-1.4</v>
      </c>
      <c r="I21">
        <v>-2</v>
      </c>
      <c r="J21">
        <v>3.1</v>
      </c>
      <c r="K21">
        <v>45.72989793155314</v>
      </c>
      <c r="L21">
        <v>42.318450241056084</v>
      </c>
      <c r="M21">
        <v>11.454199128109076</v>
      </c>
      <c r="N21">
        <v>8.0427514376120239</v>
      </c>
    </row>
    <row r="22" spans="1:14" x14ac:dyDescent="0.25">
      <c r="A22">
        <v>2010</v>
      </c>
      <c r="B22">
        <v>1.6</v>
      </c>
      <c r="C22">
        <v>3.5</v>
      </c>
      <c r="D22">
        <v>7.6</v>
      </c>
      <c r="E22">
        <v>-0.79</v>
      </c>
      <c r="F22">
        <v>1.23</v>
      </c>
      <c r="G22">
        <v>5.76</v>
      </c>
      <c r="H22">
        <v>3.5</v>
      </c>
      <c r="I22">
        <v>4.4000000000000004</v>
      </c>
      <c r="J22">
        <v>2.4</v>
      </c>
      <c r="K22">
        <v>45.699993097765386</v>
      </c>
      <c r="L22">
        <v>42.936389907855798</v>
      </c>
      <c r="M22">
        <v>11.964953399116686</v>
      </c>
      <c r="N22">
        <v>9.2013502092070993</v>
      </c>
    </row>
    <row r="23" spans="1:14" x14ac:dyDescent="0.25">
      <c r="A23">
        <v>2011</v>
      </c>
      <c r="B23">
        <v>-2.2000000000000002</v>
      </c>
      <c r="C23">
        <v>0.8</v>
      </c>
      <c r="D23">
        <v>1.6</v>
      </c>
      <c r="E23">
        <v>-0.37</v>
      </c>
      <c r="F23">
        <v>0.56000000000000005</v>
      </c>
      <c r="G23">
        <v>0.55000000000000004</v>
      </c>
      <c r="H23">
        <v>1.5</v>
      </c>
      <c r="I23">
        <v>3.4</v>
      </c>
      <c r="J23">
        <v>2.2000000000000002</v>
      </c>
      <c r="K23">
        <v>43.922020233600058</v>
      </c>
      <c r="L23">
        <v>41.643193317810152</v>
      </c>
      <c r="M23">
        <v>10.461509104253894</v>
      </c>
      <c r="N23">
        <v>8.1826821884639784</v>
      </c>
    </row>
    <row r="24" spans="1:14" x14ac:dyDescent="0.25">
      <c r="A24">
        <v>2012</v>
      </c>
      <c r="B24">
        <v>6.3</v>
      </c>
      <c r="C24">
        <v>8.6999999999999993</v>
      </c>
      <c r="D24">
        <v>10.4</v>
      </c>
      <c r="E24">
        <v>-0.87</v>
      </c>
      <c r="F24">
        <v>-2.19</v>
      </c>
      <c r="G24">
        <v>-2.89</v>
      </c>
      <c r="H24">
        <v>1</v>
      </c>
      <c r="I24">
        <v>3.4</v>
      </c>
      <c r="J24">
        <v>3.4</v>
      </c>
      <c r="K24">
        <v>41.69824574952532</v>
      </c>
      <c r="L24">
        <v>41.040044987909418</v>
      </c>
      <c r="M24">
        <v>9.6302283298383689</v>
      </c>
      <c r="N24">
        <v>8.9720275682224653</v>
      </c>
    </row>
    <row r="25" spans="1:14" x14ac:dyDescent="0.25">
      <c r="A25">
        <v>2013</v>
      </c>
      <c r="B25">
        <v>3.4</v>
      </c>
      <c r="C25">
        <v>2.9</v>
      </c>
      <c r="D25">
        <v>0.6</v>
      </c>
      <c r="E25">
        <v>-2.0099999999999998</v>
      </c>
      <c r="F25">
        <v>0.34</v>
      </c>
      <c r="G25">
        <v>-1.84</v>
      </c>
      <c r="H25">
        <v>2.2999999999999998</v>
      </c>
      <c r="I25">
        <v>5.2</v>
      </c>
      <c r="J25">
        <v>0.1</v>
      </c>
      <c r="K25">
        <v>42.792904087170513</v>
      </c>
      <c r="L25">
        <v>42.036201146397715</v>
      </c>
      <c r="M25">
        <v>9.4730563839953703</v>
      </c>
      <c r="N25">
        <v>8.716353443222582</v>
      </c>
    </row>
    <row r="26" spans="1:14" x14ac:dyDescent="0.25">
      <c r="A26">
        <v>2014</v>
      </c>
      <c r="B26">
        <v>-1.8</v>
      </c>
      <c r="C26">
        <v>-1.3</v>
      </c>
      <c r="D26">
        <v>-4.8</v>
      </c>
      <c r="E26">
        <v>-0.93</v>
      </c>
      <c r="F26">
        <v>0.14000000000000001</v>
      </c>
      <c r="G26">
        <v>0.03</v>
      </c>
      <c r="H26">
        <v>1.4</v>
      </c>
      <c r="I26">
        <v>1.2</v>
      </c>
      <c r="J26">
        <v>-0.2</v>
      </c>
      <c r="K26">
        <v>43.477042228209342</v>
      </c>
      <c r="L26">
        <v>42.11111531524547</v>
      </c>
      <c r="M26">
        <v>9.8118162788426488</v>
      </c>
      <c r="N26">
        <v>8.4458893658787755</v>
      </c>
    </row>
    <row r="27" spans="1:14" x14ac:dyDescent="0.25">
      <c r="A27">
        <v>2015</v>
      </c>
      <c r="B27">
        <v>-2.1</v>
      </c>
      <c r="C27">
        <v>-10.5</v>
      </c>
      <c r="D27">
        <v>-4.4000000000000004</v>
      </c>
      <c r="E27">
        <v>-0.26</v>
      </c>
      <c r="F27">
        <v>-1.27</v>
      </c>
      <c r="G27">
        <v>-1.1399999999999999</v>
      </c>
      <c r="H27">
        <v>-0.1</v>
      </c>
      <c r="I27">
        <v>1.5</v>
      </c>
      <c r="J27">
        <v>3.4</v>
      </c>
      <c r="K27">
        <v>45.273153388990714</v>
      </c>
      <c r="L27">
        <v>43.363045364635447</v>
      </c>
      <c r="M27">
        <v>10.950615190338448</v>
      </c>
      <c r="N27">
        <v>9.0405071659831808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27"/>
  <sheetViews>
    <sheetView topLeftCell="P1" workbookViewId="0">
      <selection activeCell="S2" sqref="S2:T27"/>
    </sheetView>
  </sheetViews>
  <sheetFormatPr defaultRowHeight="15" x14ac:dyDescent="0.25"/>
  <cols>
    <col min="16" max="16" width="12.7109375" bestFit="1" customWidth="1"/>
    <col min="17" max="17" width="12.140625" bestFit="1" customWidth="1"/>
    <col min="18" max="18" width="12" bestFit="1" customWidth="1"/>
    <col min="19" max="19" width="12.7109375" bestFit="1" customWidth="1"/>
    <col min="20" max="24" width="12" bestFit="1" customWidth="1"/>
  </cols>
  <sheetData>
    <row r="1" spans="1:33" x14ac:dyDescent="0.25">
      <c r="A1" t="s">
        <v>14</v>
      </c>
      <c r="B1" t="s">
        <v>0</v>
      </c>
      <c r="C1" t="s">
        <v>1</v>
      </c>
      <c r="D1" t="s">
        <v>2</v>
      </c>
      <c r="E1" t="s">
        <v>20</v>
      </c>
      <c r="F1" t="s">
        <v>19</v>
      </c>
      <c r="G1" t="s">
        <v>6</v>
      </c>
      <c r="H1" t="s">
        <v>7</v>
      </c>
      <c r="I1" t="s">
        <v>8</v>
      </c>
      <c r="J1" t="s">
        <v>21</v>
      </c>
      <c r="K1" t="s">
        <v>22</v>
      </c>
      <c r="L1" t="s">
        <v>23</v>
      </c>
      <c r="M1" t="s">
        <v>11</v>
      </c>
      <c r="N1" t="s">
        <v>3</v>
      </c>
      <c r="O1" t="s">
        <v>4</v>
      </c>
      <c r="P1" t="s">
        <v>5</v>
      </c>
      <c r="Q1" t="s">
        <v>9</v>
      </c>
      <c r="R1" t="s">
        <v>10</v>
      </c>
      <c r="S1" t="s">
        <v>12</v>
      </c>
      <c r="T1" t="s">
        <v>13</v>
      </c>
      <c r="U1" t="s">
        <v>15</v>
      </c>
      <c r="V1" t="s">
        <v>16</v>
      </c>
      <c r="W1" t="s">
        <v>17</v>
      </c>
      <c r="X1" t="s">
        <v>18</v>
      </c>
    </row>
    <row r="2" spans="1:33" x14ac:dyDescent="0.25">
      <c r="A2">
        <v>1990</v>
      </c>
      <c r="B2">
        <v>8.0972222222222214</v>
      </c>
      <c r="C2">
        <v>3.902777777777775</v>
      </c>
      <c r="D2">
        <v>2.0055555555555671</v>
      </c>
      <c r="E2">
        <v>-0.37777777777776578</v>
      </c>
      <c r="F2">
        <v>-3.2527777777777729</v>
      </c>
      <c r="G2">
        <v>0.12500000000001421</v>
      </c>
      <c r="H2">
        <v>-0.31666666666666288</v>
      </c>
      <c r="I2">
        <v>0.47222222222222854</v>
      </c>
      <c r="J2">
        <v>-1.3444444444444414</v>
      </c>
      <c r="K2">
        <v>4.5388888888888843</v>
      </c>
      <c r="L2">
        <v>1.7805555555555443</v>
      </c>
      <c r="M2">
        <v>4.3555555555555472</v>
      </c>
      <c r="N2">
        <v>1.4344444444444449</v>
      </c>
      <c r="O2">
        <v>0.21666666666666634</v>
      </c>
      <c r="P2">
        <v>-1.5208333333333335</v>
      </c>
      <c r="Q2">
        <v>44.408780817796789</v>
      </c>
      <c r="R2">
        <v>44.62589612483152</v>
      </c>
      <c r="S2">
        <v>11.908703011635628</v>
      </c>
      <c r="T2">
        <v>12.125818318670358</v>
      </c>
      <c r="U2">
        <v>0.31416411044781756</v>
      </c>
      <c r="V2">
        <v>3.8299410805436263</v>
      </c>
      <c r="W2">
        <v>3.2318910674087045</v>
      </c>
      <c r="X2">
        <v>8.2682086032633233</v>
      </c>
      <c r="Z2">
        <f>47.079</f>
        <v>47.079000000000001</v>
      </c>
      <c r="AA2">
        <v>43.941000000000003</v>
      </c>
      <c r="AB2">
        <v>12.005000000000001</v>
      </c>
      <c r="AC2">
        <v>11.866</v>
      </c>
      <c r="AD2">
        <v>0.3322</v>
      </c>
      <c r="AE2">
        <v>4.2035</v>
      </c>
      <c r="AF2">
        <v>3.7341000000000002</v>
      </c>
      <c r="AG2">
        <v>8.8461999999999996</v>
      </c>
    </row>
    <row r="3" spans="1:33" x14ac:dyDescent="0.25">
      <c r="A3">
        <v>1991</v>
      </c>
      <c r="B3">
        <v>0.49722222222222356</v>
      </c>
      <c r="C3">
        <v>4.2027777777777722</v>
      </c>
      <c r="D3">
        <v>2.8055555555555642</v>
      </c>
      <c r="E3">
        <v>3.0222222222222328</v>
      </c>
      <c r="F3">
        <v>4.7472222222222271</v>
      </c>
      <c r="G3">
        <v>1.6250000000000142</v>
      </c>
      <c r="H3">
        <v>-0.21666666666666856</v>
      </c>
      <c r="I3">
        <v>0.67222222222223138</v>
      </c>
      <c r="J3">
        <v>-1.8444444444444414</v>
      </c>
      <c r="K3">
        <v>1.6388888888888857</v>
      </c>
      <c r="L3">
        <v>0.38055555555554577</v>
      </c>
      <c r="M3">
        <v>1.1555555555555515</v>
      </c>
      <c r="N3">
        <v>-0.61555555555555541</v>
      </c>
      <c r="O3">
        <v>-1.0733333333333337</v>
      </c>
      <c r="P3">
        <v>0.81916666666666682</v>
      </c>
      <c r="Q3">
        <v>44.19188050607449</v>
      </c>
      <c r="R3">
        <v>43.95194370501013</v>
      </c>
      <c r="S3">
        <v>12.015808424267215</v>
      </c>
      <c r="T3">
        <v>11.775871623202862</v>
      </c>
      <c r="U3">
        <v>0.29979650810818426</v>
      </c>
      <c r="V3">
        <v>3.6630819631086902</v>
      </c>
      <c r="W3">
        <v>3.3621717792945982</v>
      </c>
      <c r="X3">
        <v>8.0138234078982826</v>
      </c>
      <c r="Z3">
        <f>Z2-0.0334</f>
        <v>47.0456</v>
      </c>
      <c r="AA3">
        <f>AA2-0.095</f>
        <v>43.846000000000004</v>
      </c>
      <c r="AB3">
        <f>AB2-0.0487</f>
        <v>11.956300000000001</v>
      </c>
      <c r="AC3">
        <f>AC2-0.1104</f>
        <v>11.755599999999999</v>
      </c>
      <c r="AD3">
        <f>AD2-0.0025</f>
        <v>0.32969999999999999</v>
      </c>
      <c r="AE3">
        <f>AE2-0.0224</f>
        <v>4.1810999999999998</v>
      </c>
      <c r="AF3">
        <f>AF2+0.0258</f>
        <v>3.7599</v>
      </c>
      <c r="AG3">
        <f>AG2-0.0419</f>
        <v>8.8042999999999996</v>
      </c>
    </row>
    <row r="4" spans="1:33" x14ac:dyDescent="0.25">
      <c r="A4">
        <v>1992</v>
      </c>
      <c r="B4">
        <v>2.097222222222225</v>
      </c>
      <c r="C4">
        <v>1.1027777777777743</v>
      </c>
      <c r="D4">
        <v>-2.9944444444444329</v>
      </c>
      <c r="E4">
        <v>-3.2777777777777715</v>
      </c>
      <c r="F4">
        <v>-1.2527777777777729</v>
      </c>
      <c r="G4">
        <v>-2.0749999999999886</v>
      </c>
      <c r="H4">
        <v>-3.4166666666666572</v>
      </c>
      <c r="I4">
        <v>-2.9277777777777771</v>
      </c>
      <c r="J4">
        <v>-1.4444444444444358</v>
      </c>
      <c r="K4">
        <v>-3.2611111111111128</v>
      </c>
      <c r="L4">
        <v>-2.0194444444444528</v>
      </c>
      <c r="M4">
        <v>-1.1444444444444493</v>
      </c>
      <c r="N4">
        <v>-0.77555555555555555</v>
      </c>
      <c r="O4">
        <v>-0.96333333333333382</v>
      </c>
      <c r="P4">
        <v>6.9166666666666821E-2</v>
      </c>
      <c r="Q4">
        <v>46.141380281769344</v>
      </c>
      <c r="R4">
        <v>44.63046124308768</v>
      </c>
      <c r="S4">
        <v>11.282675657441759</v>
      </c>
      <c r="T4">
        <v>9.7717566187600919</v>
      </c>
      <c r="U4">
        <v>0.33322890046984516</v>
      </c>
      <c r="V4">
        <v>4.3133502626304345</v>
      </c>
      <c r="W4">
        <v>3.619936236791744</v>
      </c>
      <c r="X4">
        <v>9.4917512050479314</v>
      </c>
      <c r="Z4">
        <f t="shared" ref="Z4:Z27" si="0">Z3-0.0334</f>
        <v>47.0122</v>
      </c>
      <c r="AA4">
        <f t="shared" ref="AA4:AA27" si="1">AA3-0.095</f>
        <v>43.751000000000005</v>
      </c>
      <c r="AB4">
        <f t="shared" ref="AB4:AB27" si="2">AB3-0.0487</f>
        <v>11.9076</v>
      </c>
      <c r="AC4">
        <f t="shared" ref="AC4:AC27" si="3">AC3-0.1104</f>
        <v>11.645199999999999</v>
      </c>
      <c r="AD4">
        <f t="shared" ref="AD4:AD27" si="4">AD3-0.0025</f>
        <v>0.32719999999999999</v>
      </c>
      <c r="AE4">
        <f t="shared" ref="AE4:AE27" si="5">AE3-0.0224</f>
        <v>4.1586999999999996</v>
      </c>
      <c r="AF4">
        <f t="shared" ref="AF4:AF27" si="6">AF3+0.0258</f>
        <v>3.7856999999999998</v>
      </c>
      <c r="AG4">
        <f t="shared" ref="AG4:AG27" si="7">AG3-0.0419</f>
        <v>8.7623999999999995</v>
      </c>
    </row>
    <row r="5" spans="1:33" x14ac:dyDescent="0.25">
      <c r="A5">
        <v>1993</v>
      </c>
      <c r="B5">
        <v>3.097222222222225</v>
      </c>
      <c r="C5">
        <v>-5.597222222222225</v>
      </c>
      <c r="D5">
        <v>-3.4944444444444329</v>
      </c>
      <c r="E5">
        <v>-0.17777777777777004</v>
      </c>
      <c r="F5">
        <v>1.3472222222222285</v>
      </c>
      <c r="G5">
        <v>-7.4999999999988631E-2</v>
      </c>
      <c r="H5">
        <v>0.68333333333333712</v>
      </c>
      <c r="I5">
        <v>1.1722222222222314</v>
      </c>
      <c r="J5">
        <v>-0.84444444444444144</v>
      </c>
      <c r="K5">
        <v>-2.5611111111111171</v>
      </c>
      <c r="L5">
        <v>-1.0194444444444528</v>
      </c>
      <c r="M5">
        <v>-1.5444444444444514</v>
      </c>
      <c r="N5">
        <v>-0.73555555555555552</v>
      </c>
      <c r="O5">
        <v>-0.13333333333333375</v>
      </c>
      <c r="P5">
        <v>2.3491666666666662</v>
      </c>
      <c r="Q5">
        <v>44.480507494266313</v>
      </c>
      <c r="R5">
        <v>42.902404236550595</v>
      </c>
      <c r="S5">
        <v>10.22866671361591</v>
      </c>
      <c r="T5">
        <v>8.650563455900194</v>
      </c>
      <c r="U5">
        <v>0.34651092348839602</v>
      </c>
      <c r="V5">
        <v>3.8472971386827624</v>
      </c>
      <c r="W5">
        <v>3.7207679149120745</v>
      </c>
      <c r="X5">
        <v>9.0692239568326904</v>
      </c>
      <c r="Z5">
        <f t="shared" si="0"/>
        <v>46.9788</v>
      </c>
      <c r="AA5">
        <f t="shared" si="1"/>
        <v>43.656000000000006</v>
      </c>
      <c r="AB5">
        <f t="shared" si="2"/>
        <v>11.8589</v>
      </c>
      <c r="AC5">
        <f t="shared" si="3"/>
        <v>11.534799999999999</v>
      </c>
      <c r="AD5">
        <f t="shared" si="4"/>
        <v>0.32469999999999999</v>
      </c>
      <c r="AE5">
        <f t="shared" si="5"/>
        <v>4.1362999999999994</v>
      </c>
      <c r="AF5">
        <f t="shared" si="6"/>
        <v>3.8114999999999997</v>
      </c>
      <c r="AG5">
        <f t="shared" si="7"/>
        <v>8.7204999999999995</v>
      </c>
    </row>
    <row r="6" spans="1:33" x14ac:dyDescent="0.25">
      <c r="A6">
        <v>1994</v>
      </c>
      <c r="B6">
        <v>-7.5027777777777764</v>
      </c>
      <c r="C6">
        <v>-5.8972222222222257</v>
      </c>
      <c r="D6">
        <v>-1.3944444444444315</v>
      </c>
      <c r="E6">
        <v>1.32222222222223</v>
      </c>
      <c r="F6">
        <v>-1.8527777777777743</v>
      </c>
      <c r="G6">
        <v>2.4250000000000114</v>
      </c>
      <c r="H6">
        <v>3.1833333333333371</v>
      </c>
      <c r="I6">
        <v>-1.6277777777777658</v>
      </c>
      <c r="J6">
        <v>-1.1444444444444386</v>
      </c>
      <c r="K6">
        <v>-0.66111111111111143</v>
      </c>
      <c r="L6">
        <v>3.4805555555555472</v>
      </c>
      <c r="M6">
        <v>3.1555555555555515</v>
      </c>
      <c r="N6">
        <v>2.2044444444444444</v>
      </c>
      <c r="O6">
        <v>-0.24333333333333362</v>
      </c>
      <c r="P6">
        <v>1.6391666666666662</v>
      </c>
      <c r="Q6">
        <v>44.253956490308525</v>
      </c>
      <c r="R6">
        <v>42.371449558927942</v>
      </c>
      <c r="S6">
        <v>10.395885380019983</v>
      </c>
      <c r="T6">
        <v>8.5133784486393971</v>
      </c>
      <c r="U6">
        <v>0.34610396983093777</v>
      </c>
      <c r="V6">
        <v>4.1771962154744626</v>
      </c>
      <c r="W6">
        <v>3.4169437449125502</v>
      </c>
      <c r="X6">
        <v>8.6666529138973996</v>
      </c>
      <c r="Z6">
        <f t="shared" si="0"/>
        <v>46.945399999999999</v>
      </c>
      <c r="AA6">
        <f t="shared" si="1"/>
        <v>43.561000000000007</v>
      </c>
      <c r="AB6">
        <f t="shared" si="2"/>
        <v>11.8102</v>
      </c>
      <c r="AC6">
        <f t="shared" si="3"/>
        <v>11.424399999999999</v>
      </c>
      <c r="AD6">
        <f t="shared" si="4"/>
        <v>0.32219999999999999</v>
      </c>
      <c r="AE6">
        <f t="shared" si="5"/>
        <v>4.1138999999999992</v>
      </c>
      <c r="AF6">
        <f t="shared" si="6"/>
        <v>3.8372999999999995</v>
      </c>
      <c r="AG6">
        <f t="shared" si="7"/>
        <v>8.6785999999999994</v>
      </c>
    </row>
    <row r="7" spans="1:33" x14ac:dyDescent="0.25">
      <c r="A7">
        <v>1995</v>
      </c>
      <c r="B7">
        <v>6.0972222222222214</v>
      </c>
      <c r="C7">
        <v>-2.8972222222222257</v>
      </c>
      <c r="D7">
        <v>2.7055555555555628</v>
      </c>
      <c r="E7">
        <v>-2.2777777777777715</v>
      </c>
      <c r="F7">
        <v>-2.1527777777777715</v>
      </c>
      <c r="G7">
        <v>0.62500000000001421</v>
      </c>
      <c r="H7">
        <v>1.9833333333333343</v>
      </c>
      <c r="I7">
        <v>0.2722222222222257</v>
      </c>
      <c r="J7">
        <v>-2.1444444444444386</v>
      </c>
      <c r="K7">
        <v>3.1388888888888857</v>
      </c>
      <c r="L7">
        <v>-3.9194444444444585</v>
      </c>
      <c r="M7">
        <v>-5.8444444444444485</v>
      </c>
      <c r="N7">
        <v>0.5044444444444447</v>
      </c>
      <c r="O7">
        <v>-0.23333333333333384</v>
      </c>
      <c r="P7">
        <v>-1.8508333333333336</v>
      </c>
      <c r="Q7">
        <v>42.924934286898051</v>
      </c>
      <c r="R7">
        <v>42.34161012089119</v>
      </c>
      <c r="S7">
        <v>10.320433330320103</v>
      </c>
      <c r="T7">
        <v>9.7371091643132477</v>
      </c>
      <c r="U7">
        <v>0.34342842467823276</v>
      </c>
      <c r="V7">
        <v>3.8435294569074672</v>
      </c>
      <c r="W7">
        <v>3.4042571947685105</v>
      </c>
      <c r="X7">
        <v>7.967461338437265</v>
      </c>
      <c r="Z7">
        <f t="shared" si="0"/>
        <v>46.911999999999999</v>
      </c>
      <c r="AA7">
        <f t="shared" si="1"/>
        <v>43.466000000000008</v>
      </c>
      <c r="AB7">
        <f t="shared" si="2"/>
        <v>11.7615</v>
      </c>
      <c r="AC7">
        <f t="shared" si="3"/>
        <v>11.313999999999998</v>
      </c>
      <c r="AD7">
        <f t="shared" si="4"/>
        <v>0.31969999999999998</v>
      </c>
      <c r="AE7">
        <f t="shared" si="5"/>
        <v>4.091499999999999</v>
      </c>
      <c r="AF7">
        <f t="shared" si="6"/>
        <v>3.8630999999999993</v>
      </c>
      <c r="AG7">
        <f t="shared" si="7"/>
        <v>8.6366999999999994</v>
      </c>
    </row>
    <row r="8" spans="1:33" x14ac:dyDescent="0.25">
      <c r="A8">
        <v>1996</v>
      </c>
      <c r="B8">
        <v>-1.0027777777777764</v>
      </c>
      <c r="C8">
        <v>-1.2972222222222278</v>
      </c>
      <c r="D8">
        <v>-3.1944444444444358</v>
      </c>
      <c r="E8">
        <v>-1.0777777777777686</v>
      </c>
      <c r="F8">
        <v>-2.0527777777777771</v>
      </c>
      <c r="G8">
        <v>0.72500000000000853</v>
      </c>
      <c r="H8">
        <v>-2.4166666666666572</v>
      </c>
      <c r="I8">
        <v>-0.2277777777777743</v>
      </c>
      <c r="J8">
        <v>-0.34444444444444144</v>
      </c>
      <c r="K8">
        <v>-1.0611111111111171</v>
      </c>
      <c r="L8">
        <v>-4.3194444444444571</v>
      </c>
      <c r="M8">
        <v>3.9555555555555486</v>
      </c>
      <c r="N8">
        <v>3.2644444444444449</v>
      </c>
      <c r="O8">
        <v>-0.39333333333333353</v>
      </c>
      <c r="P8">
        <v>-1.3408333333333333</v>
      </c>
      <c r="Q8">
        <v>45.166796134916574</v>
      </c>
      <c r="R8">
        <v>45.743162287544827</v>
      </c>
      <c r="S8">
        <v>10.734700429507201</v>
      </c>
      <c r="T8">
        <v>11.311066582135453</v>
      </c>
      <c r="U8">
        <v>0.29605890595346795</v>
      </c>
      <c r="V8">
        <v>4.1360872574889607</v>
      </c>
      <c r="W8">
        <v>3.6554256027131617</v>
      </c>
      <c r="X8">
        <v>8.4506990309921211</v>
      </c>
      <c r="Z8">
        <f t="shared" si="0"/>
        <v>46.878599999999999</v>
      </c>
      <c r="AA8">
        <f t="shared" si="1"/>
        <v>43.371000000000009</v>
      </c>
      <c r="AB8">
        <f t="shared" si="2"/>
        <v>11.7128</v>
      </c>
      <c r="AC8">
        <f t="shared" si="3"/>
        <v>11.203599999999998</v>
      </c>
      <c r="AD8">
        <f t="shared" si="4"/>
        <v>0.31719999999999998</v>
      </c>
      <c r="AE8">
        <f t="shared" si="5"/>
        <v>4.0690999999999988</v>
      </c>
      <c r="AF8">
        <f t="shared" si="6"/>
        <v>3.8888999999999991</v>
      </c>
      <c r="AG8">
        <f t="shared" si="7"/>
        <v>8.5947999999999993</v>
      </c>
    </row>
    <row r="9" spans="1:33" x14ac:dyDescent="0.25">
      <c r="A9">
        <v>1997</v>
      </c>
      <c r="B9">
        <v>0.69722222222222285</v>
      </c>
      <c r="C9">
        <v>5.2027777777777722</v>
      </c>
      <c r="D9">
        <v>-0.79444444444443718</v>
      </c>
      <c r="E9">
        <v>-2.3777777777777658</v>
      </c>
      <c r="F9">
        <v>-3.6527777777777715</v>
      </c>
      <c r="G9">
        <v>-7.4999999999988631E-2</v>
      </c>
      <c r="H9">
        <v>-1.0166666666666657</v>
      </c>
      <c r="I9">
        <v>-1.6277777777777658</v>
      </c>
      <c r="J9">
        <v>-1.0444444444444372</v>
      </c>
      <c r="K9">
        <v>-1.3611111111111143</v>
      </c>
      <c r="L9">
        <v>-3.1194444444444542</v>
      </c>
      <c r="M9">
        <v>5.5555555555550029E-2</v>
      </c>
      <c r="N9">
        <v>0.44444444444444464</v>
      </c>
      <c r="O9">
        <v>-1.0033333333333339</v>
      </c>
      <c r="P9">
        <v>-0.14083333333333314</v>
      </c>
      <c r="Q9">
        <v>48.838702298609633</v>
      </c>
      <c r="R9">
        <v>50.144145289764367</v>
      </c>
      <c r="S9">
        <v>13.201969739517997</v>
      </c>
      <c r="T9">
        <v>14.507412730672725</v>
      </c>
      <c r="U9">
        <v>0.28218943514513906</v>
      </c>
      <c r="V9">
        <v>4.305428451978198</v>
      </c>
      <c r="W9">
        <v>4.492958408889983</v>
      </c>
      <c r="X9">
        <v>8.1747703912872112</v>
      </c>
      <c r="Z9">
        <f t="shared" si="0"/>
        <v>46.845199999999998</v>
      </c>
      <c r="AA9">
        <f t="shared" si="1"/>
        <v>43.27600000000001</v>
      </c>
      <c r="AB9">
        <f t="shared" si="2"/>
        <v>11.664099999999999</v>
      </c>
      <c r="AC9">
        <f t="shared" si="3"/>
        <v>11.093199999999998</v>
      </c>
      <c r="AD9">
        <f t="shared" si="4"/>
        <v>0.31469999999999998</v>
      </c>
      <c r="AE9">
        <f t="shared" si="5"/>
        <v>4.0466999999999986</v>
      </c>
      <c r="AF9">
        <f t="shared" si="6"/>
        <v>3.914699999999999</v>
      </c>
      <c r="AG9">
        <f t="shared" si="7"/>
        <v>8.5528999999999993</v>
      </c>
    </row>
    <row r="10" spans="1:33" x14ac:dyDescent="0.25">
      <c r="A10">
        <v>1998</v>
      </c>
      <c r="B10">
        <v>6.8972222222222257</v>
      </c>
      <c r="C10">
        <v>6.5027777777777764</v>
      </c>
      <c r="D10">
        <v>2.7055555555555628</v>
      </c>
      <c r="E10">
        <v>1.0222222222222328</v>
      </c>
      <c r="F10">
        <v>3.1472222222222257</v>
      </c>
      <c r="G10">
        <v>-1.1749999999999829</v>
      </c>
      <c r="H10">
        <v>-0.61666666666666003</v>
      </c>
      <c r="I10">
        <v>1.5722222222222229</v>
      </c>
      <c r="J10">
        <v>1.5555555555555642</v>
      </c>
      <c r="K10">
        <v>0.43888888888888289</v>
      </c>
      <c r="L10">
        <v>-0.4194444444444585</v>
      </c>
      <c r="M10">
        <v>4.6555555555555515</v>
      </c>
      <c r="N10">
        <v>1.2044444444444444</v>
      </c>
      <c r="O10">
        <v>0.8966666666666665</v>
      </c>
      <c r="P10">
        <v>1.8491666666666662</v>
      </c>
      <c r="Q10">
        <v>47.294503783922437</v>
      </c>
      <c r="R10">
        <v>47.693873219998849</v>
      </c>
      <c r="S10">
        <v>12.948870196922446</v>
      </c>
      <c r="T10">
        <v>13.348239632998851</v>
      </c>
      <c r="U10">
        <v>0.30052024788394921</v>
      </c>
      <c r="V10">
        <v>4.0392954513616797</v>
      </c>
      <c r="W10">
        <v>4.3407024183768375</v>
      </c>
      <c r="X10">
        <v>7.1108113605170171</v>
      </c>
      <c r="Z10">
        <f t="shared" si="0"/>
        <v>46.811799999999998</v>
      </c>
      <c r="AA10">
        <f t="shared" si="1"/>
        <v>43.181000000000012</v>
      </c>
      <c r="AB10">
        <f t="shared" si="2"/>
        <v>11.615399999999999</v>
      </c>
      <c r="AC10">
        <f t="shared" si="3"/>
        <v>10.982799999999997</v>
      </c>
      <c r="AD10">
        <f t="shared" si="4"/>
        <v>0.31219999999999998</v>
      </c>
      <c r="AE10">
        <f t="shared" si="5"/>
        <v>4.0242999999999984</v>
      </c>
      <c r="AF10">
        <f t="shared" si="6"/>
        <v>3.9404999999999988</v>
      </c>
      <c r="AG10">
        <f t="shared" si="7"/>
        <v>8.5109999999999992</v>
      </c>
    </row>
    <row r="11" spans="1:33" x14ac:dyDescent="0.25">
      <c r="A11">
        <v>1999</v>
      </c>
      <c r="B11">
        <v>1.1972222222222229</v>
      </c>
      <c r="C11">
        <v>3.0027777777777729</v>
      </c>
      <c r="D11">
        <v>0.80555555555556424</v>
      </c>
      <c r="E11">
        <v>0.32222222222222996</v>
      </c>
      <c r="F11">
        <v>0.6472222222222257</v>
      </c>
      <c r="G11">
        <v>2.4250000000000114</v>
      </c>
      <c r="H11">
        <v>2.9833333333333343</v>
      </c>
      <c r="I11">
        <v>-0.2277777777777743</v>
      </c>
      <c r="J11">
        <v>1.9555555555555557</v>
      </c>
      <c r="K11">
        <v>-1.2611111111111128</v>
      </c>
      <c r="L11">
        <v>3.6805555555555429</v>
      </c>
      <c r="M11">
        <v>1.8555555555555472</v>
      </c>
      <c r="N11">
        <v>3.8344444444444443</v>
      </c>
      <c r="O11">
        <v>0.65666666666666629</v>
      </c>
      <c r="P11">
        <v>1.1691666666666665</v>
      </c>
      <c r="Q11">
        <v>48.971648046952886</v>
      </c>
      <c r="R11">
        <v>48.908236966484935</v>
      </c>
      <c r="S11">
        <v>12.210133852255002</v>
      </c>
      <c r="T11">
        <v>12.146722771787049</v>
      </c>
      <c r="U11">
        <v>0.30803259638365671</v>
      </c>
      <c r="V11">
        <v>4.2952045328372979</v>
      </c>
      <c r="W11">
        <v>4.3725278738931674</v>
      </c>
      <c r="X11">
        <v>8.0297172640889674</v>
      </c>
      <c r="Z11">
        <f t="shared" si="0"/>
        <v>46.778399999999998</v>
      </c>
      <c r="AA11">
        <f t="shared" si="1"/>
        <v>43.086000000000013</v>
      </c>
      <c r="AB11">
        <f t="shared" si="2"/>
        <v>11.566699999999999</v>
      </c>
      <c r="AC11">
        <f t="shared" si="3"/>
        <v>10.872399999999997</v>
      </c>
      <c r="AD11">
        <f t="shared" si="4"/>
        <v>0.30969999999999998</v>
      </c>
      <c r="AE11">
        <f t="shared" si="5"/>
        <v>4.0018999999999982</v>
      </c>
      <c r="AF11">
        <f t="shared" si="6"/>
        <v>3.9662999999999986</v>
      </c>
      <c r="AG11">
        <f t="shared" si="7"/>
        <v>8.4690999999999992</v>
      </c>
    </row>
    <row r="12" spans="1:33" x14ac:dyDescent="0.25">
      <c r="A12">
        <v>2000</v>
      </c>
      <c r="B12">
        <v>-1.6027777777777743</v>
      </c>
      <c r="C12">
        <v>2.6027777777777743</v>
      </c>
      <c r="D12">
        <v>5.3055555555555642</v>
      </c>
      <c r="E12">
        <v>-1.4777777777777672</v>
      </c>
      <c r="F12">
        <v>4.7222222222224275E-2</v>
      </c>
      <c r="G12">
        <v>-0.37499999999998579</v>
      </c>
      <c r="H12">
        <v>-4.0166666666666657</v>
      </c>
      <c r="I12">
        <v>-2.1277777777777658</v>
      </c>
      <c r="J12">
        <v>-1.4444444444444358</v>
      </c>
      <c r="K12">
        <v>-0.26111111111111285</v>
      </c>
      <c r="L12">
        <v>-1.2194444444444557</v>
      </c>
      <c r="M12">
        <v>-5.8444444444444485</v>
      </c>
      <c r="N12">
        <v>-1.5555555555555323E-2</v>
      </c>
      <c r="O12">
        <v>-0.48333333333333384</v>
      </c>
      <c r="P12">
        <v>-0.14083333333333314</v>
      </c>
      <c r="Q12">
        <v>49.65530365161824</v>
      </c>
      <c r="R12">
        <v>50.323403348930967</v>
      </c>
      <c r="S12">
        <v>11.989900612431979</v>
      </c>
      <c r="T12">
        <v>12.658000309744708</v>
      </c>
      <c r="U12">
        <v>0.29695875989199799</v>
      </c>
      <c r="V12">
        <v>4.5502705055175587</v>
      </c>
      <c r="W12">
        <v>4.6271664503895247</v>
      </c>
      <c r="X12">
        <v>8.7813383321292289</v>
      </c>
      <c r="Z12">
        <f t="shared" si="0"/>
        <v>46.744999999999997</v>
      </c>
      <c r="AA12">
        <f t="shared" si="1"/>
        <v>42.991000000000014</v>
      </c>
      <c r="AB12">
        <f t="shared" si="2"/>
        <v>11.517999999999999</v>
      </c>
      <c r="AC12">
        <f t="shared" si="3"/>
        <v>10.761999999999997</v>
      </c>
      <c r="AD12">
        <f t="shared" si="4"/>
        <v>0.30719999999999997</v>
      </c>
      <c r="AE12">
        <f t="shared" si="5"/>
        <v>3.979499999999998</v>
      </c>
      <c r="AF12">
        <f t="shared" si="6"/>
        <v>3.9920999999999984</v>
      </c>
      <c r="AG12">
        <f t="shared" si="7"/>
        <v>8.4271999999999991</v>
      </c>
    </row>
    <row r="13" spans="1:33" x14ac:dyDescent="0.25">
      <c r="A13">
        <v>2001</v>
      </c>
      <c r="B13">
        <v>-0.40277777777777501</v>
      </c>
      <c r="C13">
        <v>0.80277777777777359</v>
      </c>
      <c r="D13">
        <v>-2.4944444444444329</v>
      </c>
      <c r="E13">
        <v>0.32222222222222996</v>
      </c>
      <c r="F13">
        <v>1.0472222222222243</v>
      </c>
      <c r="G13">
        <v>1.7250000000000085</v>
      </c>
      <c r="H13">
        <v>-3.61666666666666</v>
      </c>
      <c r="I13">
        <v>2.7722222222222257</v>
      </c>
      <c r="J13">
        <v>-0.1444444444444386</v>
      </c>
      <c r="K13">
        <v>1.3388888888888886</v>
      </c>
      <c r="L13">
        <v>3.5805555555555415</v>
      </c>
      <c r="M13">
        <v>5.1555555555555515</v>
      </c>
      <c r="N13">
        <v>-1.0155555555555553</v>
      </c>
      <c r="O13">
        <v>-0.51333333333333364</v>
      </c>
      <c r="P13">
        <v>3.4291666666666663</v>
      </c>
      <c r="Q13">
        <v>49.976332775467526</v>
      </c>
      <c r="R13">
        <v>49.049107506480681</v>
      </c>
      <c r="S13">
        <v>12.343415698509945</v>
      </c>
      <c r="T13">
        <v>11.4161904295231</v>
      </c>
      <c r="U13">
        <v>0.29271970407744557</v>
      </c>
      <c r="V13">
        <v>4.3216339216085036</v>
      </c>
      <c r="W13">
        <v>4.3937736849395934</v>
      </c>
      <c r="X13">
        <v>8.4967831962407701</v>
      </c>
      <c r="Z13">
        <f t="shared" si="0"/>
        <v>46.711599999999997</v>
      </c>
      <c r="AA13">
        <f t="shared" si="1"/>
        <v>42.896000000000015</v>
      </c>
      <c r="AB13">
        <f t="shared" si="2"/>
        <v>11.469299999999999</v>
      </c>
      <c r="AC13">
        <f t="shared" si="3"/>
        <v>10.651599999999997</v>
      </c>
      <c r="AD13">
        <f t="shared" si="4"/>
        <v>0.30469999999999997</v>
      </c>
      <c r="AE13">
        <f t="shared" si="5"/>
        <v>3.9570999999999978</v>
      </c>
      <c r="AF13">
        <f t="shared" si="6"/>
        <v>4.0178999999999983</v>
      </c>
      <c r="AG13">
        <f t="shared" si="7"/>
        <v>8.3852999999999991</v>
      </c>
    </row>
    <row r="14" spans="1:33" x14ac:dyDescent="0.25">
      <c r="A14">
        <v>2002</v>
      </c>
      <c r="B14">
        <v>7.0972222222222214</v>
      </c>
      <c r="C14">
        <v>5.402777777777775</v>
      </c>
      <c r="D14">
        <v>2.0055555555555671</v>
      </c>
      <c r="E14">
        <v>2.5222222222222328</v>
      </c>
      <c r="F14">
        <v>-2.7527777777777729</v>
      </c>
      <c r="G14">
        <v>-0.87499999999998579</v>
      </c>
      <c r="H14">
        <v>0.98333333333333428</v>
      </c>
      <c r="I14">
        <v>1.8722222222222342</v>
      </c>
      <c r="J14">
        <v>2.1555555555555586</v>
      </c>
      <c r="K14">
        <v>-1.7611111111111128</v>
      </c>
      <c r="L14">
        <v>-1.7194444444444557</v>
      </c>
      <c r="M14">
        <v>-2.1444444444444493</v>
      </c>
      <c r="N14">
        <v>-1.5255555555555556</v>
      </c>
      <c r="O14">
        <v>-1.4033333333333338</v>
      </c>
      <c r="P14">
        <v>-0.13083333333333336</v>
      </c>
      <c r="Q14">
        <v>48.994755656283935</v>
      </c>
      <c r="R14">
        <v>47.390261616864528</v>
      </c>
      <c r="S14">
        <v>11.983738560961358</v>
      </c>
      <c r="T14">
        <v>10.379244521541946</v>
      </c>
      <c r="U14">
        <v>0.30088541808385355</v>
      </c>
      <c r="V14">
        <v>4.1316137735641236</v>
      </c>
      <c r="W14">
        <v>4.3712784082738256</v>
      </c>
      <c r="X14">
        <v>8.2308893319980019</v>
      </c>
      <c r="Z14">
        <f t="shared" si="0"/>
        <v>46.678199999999997</v>
      </c>
      <c r="AA14">
        <f t="shared" si="1"/>
        <v>42.801000000000016</v>
      </c>
      <c r="AB14">
        <f t="shared" si="2"/>
        <v>11.420599999999999</v>
      </c>
      <c r="AC14">
        <f t="shared" si="3"/>
        <v>10.541199999999996</v>
      </c>
      <c r="AD14">
        <f t="shared" si="4"/>
        <v>0.30219999999999997</v>
      </c>
      <c r="AE14">
        <f t="shared" si="5"/>
        <v>3.9346999999999976</v>
      </c>
      <c r="AF14">
        <f t="shared" si="6"/>
        <v>4.0436999999999985</v>
      </c>
      <c r="AG14">
        <f t="shared" si="7"/>
        <v>8.343399999999999</v>
      </c>
    </row>
    <row r="15" spans="1:33" x14ac:dyDescent="0.25">
      <c r="A15">
        <v>2003</v>
      </c>
      <c r="B15">
        <v>-4.8027777777777771</v>
      </c>
      <c r="C15">
        <v>-4.8972222222222257</v>
      </c>
      <c r="D15">
        <v>-0.59444444444443434</v>
      </c>
      <c r="E15">
        <v>-3.0777777777777686</v>
      </c>
      <c r="F15">
        <v>-2.8527777777777743</v>
      </c>
      <c r="G15">
        <v>-1.6749999999999829</v>
      </c>
      <c r="H15">
        <v>-0.31666666666666288</v>
      </c>
      <c r="I15">
        <v>2.1722222222222314</v>
      </c>
      <c r="J15">
        <v>0.65555555555555856</v>
      </c>
      <c r="K15">
        <v>-2.0611111111111171</v>
      </c>
      <c r="L15">
        <v>2.0805555555555415</v>
      </c>
      <c r="M15">
        <v>0.45555555555554861</v>
      </c>
      <c r="N15">
        <v>-0.81555555555555559</v>
      </c>
      <c r="O15">
        <v>0.74666666666666615</v>
      </c>
      <c r="P15">
        <v>4.9166666666666359E-2</v>
      </c>
      <c r="Q15">
        <v>52.609510670346005</v>
      </c>
      <c r="R15">
        <v>49.903133185510285</v>
      </c>
      <c r="S15">
        <v>12.355896167381317</v>
      </c>
      <c r="T15">
        <v>9.6495186825455992</v>
      </c>
      <c r="U15">
        <v>0.28557020330327432</v>
      </c>
      <c r="V15">
        <v>4.9599546268754944</v>
      </c>
      <c r="W15">
        <v>4.7305065623983156</v>
      </c>
      <c r="X15">
        <v>9.7986813106196937</v>
      </c>
      <c r="Z15">
        <f t="shared" si="0"/>
        <v>46.644799999999996</v>
      </c>
      <c r="AA15">
        <f t="shared" si="1"/>
        <v>42.706000000000017</v>
      </c>
      <c r="AB15">
        <f t="shared" si="2"/>
        <v>11.371899999999998</v>
      </c>
      <c r="AC15">
        <f t="shared" si="3"/>
        <v>10.430799999999996</v>
      </c>
      <c r="AD15">
        <f t="shared" si="4"/>
        <v>0.29969999999999997</v>
      </c>
      <c r="AE15">
        <f t="shared" si="5"/>
        <v>3.9122999999999974</v>
      </c>
      <c r="AF15">
        <f t="shared" si="6"/>
        <v>4.0694999999999988</v>
      </c>
      <c r="AG15">
        <f t="shared" si="7"/>
        <v>8.301499999999999</v>
      </c>
    </row>
    <row r="16" spans="1:33" x14ac:dyDescent="0.25">
      <c r="A16">
        <v>2004</v>
      </c>
      <c r="B16">
        <v>-7.5027777777777764</v>
      </c>
      <c r="C16">
        <v>-0.19722222222222641</v>
      </c>
      <c r="D16">
        <v>1.4055555555555657</v>
      </c>
      <c r="E16">
        <v>0.42222222222223138</v>
      </c>
      <c r="F16">
        <v>2.0472222222222243</v>
      </c>
      <c r="G16">
        <v>-1.3749999999999858</v>
      </c>
      <c r="H16">
        <v>-1.8166666666666629</v>
      </c>
      <c r="I16">
        <v>-0.42777777777777715</v>
      </c>
      <c r="J16">
        <v>1.1555555555555586</v>
      </c>
      <c r="K16">
        <v>-0.46111111111111569</v>
      </c>
      <c r="L16">
        <v>0.18055555555554292</v>
      </c>
      <c r="M16">
        <v>-1.1444444444444493</v>
      </c>
      <c r="N16">
        <v>-1.5755555555555556</v>
      </c>
      <c r="O16">
        <v>-0.90333333333333377</v>
      </c>
      <c r="P16">
        <v>-1.2808333333333333</v>
      </c>
      <c r="Q16">
        <v>53.638109347280235</v>
      </c>
      <c r="R16">
        <v>51.828640559967518</v>
      </c>
      <c r="S16">
        <v>12.228978878725954</v>
      </c>
      <c r="T16">
        <v>10.419510091413237</v>
      </c>
      <c r="U16">
        <v>0.26292664314934899</v>
      </c>
      <c r="V16">
        <v>3.9419910738108217</v>
      </c>
      <c r="W16">
        <v>4.6931525162496799</v>
      </c>
      <c r="X16">
        <v>10.287679530368065</v>
      </c>
      <c r="Z16">
        <f t="shared" si="0"/>
        <v>46.611399999999996</v>
      </c>
      <c r="AA16">
        <f t="shared" si="1"/>
        <v>42.611000000000018</v>
      </c>
      <c r="AB16">
        <f t="shared" si="2"/>
        <v>11.323199999999998</v>
      </c>
      <c r="AC16">
        <f t="shared" si="3"/>
        <v>10.320399999999996</v>
      </c>
      <c r="AD16">
        <f t="shared" si="4"/>
        <v>0.29719999999999996</v>
      </c>
      <c r="AE16">
        <f t="shared" si="5"/>
        <v>3.8898999999999972</v>
      </c>
      <c r="AF16">
        <f t="shared" si="6"/>
        <v>4.0952999999999991</v>
      </c>
      <c r="AG16">
        <f t="shared" si="7"/>
        <v>8.2595999999999989</v>
      </c>
    </row>
    <row r="17" spans="1:33" x14ac:dyDescent="0.25">
      <c r="A17">
        <v>2005</v>
      </c>
      <c r="B17">
        <v>-1.902777777777775</v>
      </c>
      <c r="C17">
        <v>1.0027777777777729</v>
      </c>
      <c r="D17">
        <v>-4.2944444444444372</v>
      </c>
      <c r="E17">
        <v>1.7222222222222285</v>
      </c>
      <c r="F17">
        <v>-4.7527777777777729</v>
      </c>
      <c r="G17">
        <v>3.2250000000000085</v>
      </c>
      <c r="H17">
        <v>0.58333333333334281</v>
      </c>
      <c r="I17">
        <v>2.9722222222222285</v>
      </c>
      <c r="J17">
        <v>3.3555555555555614</v>
      </c>
      <c r="K17">
        <v>1.3388888888888886</v>
      </c>
      <c r="L17">
        <v>1.2805555555555443</v>
      </c>
      <c r="M17">
        <v>-3.2444444444444507</v>
      </c>
      <c r="N17">
        <v>1.3844444444444441</v>
      </c>
      <c r="O17">
        <v>-0.58333333333333348</v>
      </c>
      <c r="P17">
        <v>-0.24083333333333368</v>
      </c>
      <c r="Q17">
        <v>52.005117172650095</v>
      </c>
      <c r="R17">
        <v>51.008316899439876</v>
      </c>
      <c r="S17">
        <v>12.670138824478334</v>
      </c>
      <c r="T17">
        <v>11.673338551268115</v>
      </c>
      <c r="U17">
        <v>0.33352295175560137</v>
      </c>
      <c r="V17">
        <v>3.7509581266116712</v>
      </c>
      <c r="W17">
        <v>4.6145716587212782</v>
      </c>
      <c r="X17">
        <v>9.3488476935461957</v>
      </c>
      <c r="Z17">
        <f t="shared" si="0"/>
        <v>46.577999999999996</v>
      </c>
      <c r="AA17">
        <f t="shared" si="1"/>
        <v>42.51600000000002</v>
      </c>
      <c r="AB17">
        <f t="shared" si="2"/>
        <v>11.274499999999998</v>
      </c>
      <c r="AC17">
        <f t="shared" si="3"/>
        <v>10.209999999999996</v>
      </c>
      <c r="AD17">
        <f t="shared" si="4"/>
        <v>0.29469999999999996</v>
      </c>
      <c r="AE17">
        <f t="shared" si="5"/>
        <v>3.8674999999999971</v>
      </c>
      <c r="AF17">
        <f t="shared" si="6"/>
        <v>4.1210999999999993</v>
      </c>
      <c r="AG17">
        <f t="shared" si="7"/>
        <v>8.2176999999999989</v>
      </c>
    </row>
    <row r="18" spans="1:33" x14ac:dyDescent="0.25">
      <c r="A18">
        <v>2006</v>
      </c>
      <c r="B18">
        <v>7.4972222222222271</v>
      </c>
      <c r="C18">
        <v>0.80277777777777359</v>
      </c>
      <c r="D18">
        <v>0.1055555555555685</v>
      </c>
      <c r="E18">
        <v>1.4222222222222314</v>
      </c>
      <c r="F18">
        <v>-0.65277777777777146</v>
      </c>
      <c r="G18">
        <v>0.72500000000000853</v>
      </c>
      <c r="H18">
        <v>2.2833333333333314</v>
      </c>
      <c r="I18">
        <v>-0.2277777777777743</v>
      </c>
      <c r="J18">
        <v>-1.4444444444444358</v>
      </c>
      <c r="K18">
        <v>-0.36111111111111427</v>
      </c>
      <c r="L18">
        <v>4.5805555555555415</v>
      </c>
      <c r="M18">
        <v>6.05555555555555</v>
      </c>
      <c r="N18">
        <v>2.4444444444444446</v>
      </c>
      <c r="O18">
        <v>-0.59333333333333371</v>
      </c>
      <c r="P18">
        <v>-3.5308333333333337</v>
      </c>
      <c r="Q18">
        <v>47.663533716225395</v>
      </c>
      <c r="R18">
        <v>47.749214334109887</v>
      </c>
      <c r="S18">
        <v>11.08142070071079</v>
      </c>
      <c r="T18">
        <v>11.167101318595286</v>
      </c>
      <c r="U18">
        <v>0.25912333654778114</v>
      </c>
      <c r="V18">
        <v>3.3259591391985777</v>
      </c>
      <c r="W18">
        <v>4.5271012006435747</v>
      </c>
      <c r="X18">
        <v>8.0709312593451905</v>
      </c>
      <c r="Z18">
        <f t="shared" si="0"/>
        <v>46.544599999999996</v>
      </c>
      <c r="AA18">
        <f t="shared" si="1"/>
        <v>42.421000000000021</v>
      </c>
      <c r="AB18">
        <f t="shared" si="2"/>
        <v>11.225799999999998</v>
      </c>
      <c r="AC18">
        <f t="shared" si="3"/>
        <v>10.099599999999995</v>
      </c>
      <c r="AD18">
        <f t="shared" si="4"/>
        <v>0.29219999999999996</v>
      </c>
      <c r="AE18">
        <f t="shared" si="5"/>
        <v>3.8450999999999969</v>
      </c>
      <c r="AF18">
        <f t="shared" si="6"/>
        <v>4.1468999999999996</v>
      </c>
      <c r="AG18">
        <f t="shared" si="7"/>
        <v>8.1757999999999988</v>
      </c>
    </row>
    <row r="19" spans="1:33" x14ac:dyDescent="0.25">
      <c r="A19">
        <v>2007</v>
      </c>
      <c r="B19">
        <v>5.097222222222225</v>
      </c>
      <c r="C19">
        <v>-5.3972222222222257</v>
      </c>
      <c r="D19">
        <v>-1.4944444444444329</v>
      </c>
      <c r="E19">
        <v>-2.7777777777777715</v>
      </c>
      <c r="F19">
        <v>1.7472222222222271</v>
      </c>
      <c r="G19">
        <v>0.22500000000000853</v>
      </c>
      <c r="H19">
        <v>-0.91666666666665719</v>
      </c>
      <c r="I19">
        <v>0.2722222222222257</v>
      </c>
      <c r="J19">
        <v>1.9555555555555557</v>
      </c>
      <c r="K19">
        <v>6.4388888888888829</v>
      </c>
      <c r="L19">
        <v>-1.8194444444444571</v>
      </c>
      <c r="M19">
        <v>-1.7444444444444507</v>
      </c>
      <c r="N19">
        <v>-3.555555555555534E-2</v>
      </c>
      <c r="O19">
        <v>-1.0633333333333339</v>
      </c>
      <c r="P19">
        <v>0.98916666666666675</v>
      </c>
      <c r="Q19">
        <v>47.56963291419698</v>
      </c>
      <c r="R19">
        <v>46.74611941152029</v>
      </c>
      <c r="S19">
        <v>11.291854503543206</v>
      </c>
      <c r="T19">
        <v>10.468341000866527</v>
      </c>
      <c r="U19">
        <v>0.33667032046327977</v>
      </c>
      <c r="V19">
        <v>3.3591549969486212</v>
      </c>
      <c r="W19">
        <v>4.2697486846895503</v>
      </c>
      <c r="X19">
        <v>8.3257831208682536</v>
      </c>
      <c r="Z19">
        <f t="shared" si="0"/>
        <v>46.511199999999995</v>
      </c>
      <c r="AA19">
        <f t="shared" si="1"/>
        <v>42.326000000000022</v>
      </c>
      <c r="AB19">
        <f t="shared" si="2"/>
        <v>11.177099999999998</v>
      </c>
      <c r="AC19">
        <f t="shared" si="3"/>
        <v>9.989199999999995</v>
      </c>
      <c r="AD19">
        <f t="shared" si="4"/>
        <v>0.28969999999999996</v>
      </c>
      <c r="AE19">
        <f t="shared" si="5"/>
        <v>3.8226999999999967</v>
      </c>
      <c r="AF19">
        <f t="shared" si="6"/>
        <v>4.1726999999999999</v>
      </c>
      <c r="AG19">
        <f t="shared" si="7"/>
        <v>8.1338999999999988</v>
      </c>
    </row>
    <row r="20" spans="1:33" x14ac:dyDescent="0.25">
      <c r="A20">
        <v>2008</v>
      </c>
      <c r="B20">
        <v>3.4972222222222236</v>
      </c>
      <c r="C20">
        <v>1.1027777777777743</v>
      </c>
      <c r="D20">
        <v>-9.4444444444434339E-2</v>
      </c>
      <c r="E20">
        <v>2.0222222222222328</v>
      </c>
      <c r="F20">
        <v>-2.7527777777777729</v>
      </c>
      <c r="G20">
        <v>2.2250000000000085</v>
      </c>
      <c r="H20">
        <v>1.4833333333333343</v>
      </c>
      <c r="I20">
        <v>-2.2277777777777743</v>
      </c>
      <c r="J20">
        <v>0.65555555555555856</v>
      </c>
      <c r="K20">
        <v>-1.3611111111111143</v>
      </c>
      <c r="L20">
        <v>-1.2194444444444557</v>
      </c>
      <c r="M20">
        <v>0.25555555555555287</v>
      </c>
      <c r="N20">
        <v>-1.0155555555555553</v>
      </c>
      <c r="O20">
        <v>5.2666666666666657</v>
      </c>
      <c r="P20">
        <v>1.2591666666666663</v>
      </c>
      <c r="Q20">
        <v>44.973069250911145</v>
      </c>
      <c r="R20">
        <v>44.340723637161659</v>
      </c>
      <c r="S20">
        <v>10.093072782062062</v>
      </c>
      <c r="T20">
        <v>9.4607271683125802</v>
      </c>
      <c r="U20">
        <v>0.33311453047792322</v>
      </c>
      <c r="V20">
        <v>3.3791616265838145</v>
      </c>
      <c r="W20">
        <v>3.9295184838279167</v>
      </c>
      <c r="X20">
        <v>8.1549968027739475</v>
      </c>
      <c r="Z20">
        <f t="shared" si="0"/>
        <v>46.477799999999995</v>
      </c>
      <c r="AA20">
        <f t="shared" si="1"/>
        <v>42.231000000000023</v>
      </c>
      <c r="AB20">
        <f t="shared" si="2"/>
        <v>11.128399999999997</v>
      </c>
      <c r="AC20">
        <f t="shared" si="3"/>
        <v>9.8787999999999947</v>
      </c>
      <c r="AD20">
        <f t="shared" si="4"/>
        <v>0.28719999999999996</v>
      </c>
      <c r="AE20">
        <f t="shared" si="5"/>
        <v>3.8002999999999965</v>
      </c>
      <c r="AF20">
        <f t="shared" si="6"/>
        <v>4.1985000000000001</v>
      </c>
      <c r="AG20">
        <f t="shared" si="7"/>
        <v>8.0919999999999987</v>
      </c>
    </row>
    <row r="21" spans="1:33" x14ac:dyDescent="0.25">
      <c r="A21">
        <v>2009</v>
      </c>
      <c r="B21">
        <v>-5.2027777777777757</v>
      </c>
      <c r="C21">
        <v>1.5027777777777729</v>
      </c>
      <c r="D21">
        <v>0.20555555555556282</v>
      </c>
      <c r="E21">
        <v>1.7222222222222285</v>
      </c>
      <c r="F21">
        <v>-5.2777777777777146E-2</v>
      </c>
      <c r="G21">
        <v>-2.3749999999999858</v>
      </c>
      <c r="H21">
        <v>-3.11666666666666</v>
      </c>
      <c r="I21">
        <v>1.6722222222222314</v>
      </c>
      <c r="J21">
        <v>-1.6444444444444386</v>
      </c>
      <c r="K21">
        <v>-1.8611111111111143</v>
      </c>
      <c r="L21">
        <v>4.2805555555555443</v>
      </c>
      <c r="M21">
        <v>-1.8444444444444485</v>
      </c>
      <c r="N21">
        <v>-0.4655555555555555</v>
      </c>
      <c r="O21">
        <v>-1.5933333333333337</v>
      </c>
      <c r="P21">
        <v>-1.9008333333333334</v>
      </c>
      <c r="Q21">
        <v>45.72989793155314</v>
      </c>
      <c r="R21">
        <v>42.318450241056084</v>
      </c>
      <c r="S21">
        <v>11.454199128109076</v>
      </c>
      <c r="T21">
        <v>8.0427514376120239</v>
      </c>
      <c r="U21">
        <v>0.30589273555852953</v>
      </c>
      <c r="V21">
        <v>3.2950506892048019</v>
      </c>
      <c r="W21">
        <v>3.9354200446839083</v>
      </c>
      <c r="X21">
        <v>8.195432345164976</v>
      </c>
      <c r="Z21">
        <f t="shared" si="0"/>
        <v>46.444399999999995</v>
      </c>
      <c r="AA21">
        <f t="shared" si="1"/>
        <v>42.136000000000024</v>
      </c>
      <c r="AB21">
        <f t="shared" si="2"/>
        <v>11.079699999999997</v>
      </c>
      <c r="AC21">
        <f t="shared" si="3"/>
        <v>9.7683999999999944</v>
      </c>
      <c r="AD21">
        <f t="shared" si="4"/>
        <v>0.28469999999999995</v>
      </c>
      <c r="AE21">
        <f t="shared" si="5"/>
        <v>3.7778999999999963</v>
      </c>
      <c r="AF21">
        <f t="shared" si="6"/>
        <v>4.2243000000000004</v>
      </c>
      <c r="AG21">
        <f t="shared" si="7"/>
        <v>8.0500999999999987</v>
      </c>
    </row>
    <row r="22" spans="1:33" x14ac:dyDescent="0.25">
      <c r="A22">
        <v>2010</v>
      </c>
      <c r="B22">
        <v>0.79722222222222427</v>
      </c>
      <c r="C22">
        <v>1.1027777777777743</v>
      </c>
      <c r="D22">
        <v>6.4055555555555657</v>
      </c>
      <c r="E22">
        <v>4.4222222222222314</v>
      </c>
      <c r="F22">
        <v>3.0472222222222243</v>
      </c>
      <c r="G22">
        <v>2.5250000000000199</v>
      </c>
      <c r="H22">
        <v>3.2833333333333314</v>
      </c>
      <c r="I22">
        <v>0.97222222222222854</v>
      </c>
      <c r="J22">
        <v>2.9555555555555557</v>
      </c>
      <c r="K22">
        <v>1.4388888888888829</v>
      </c>
      <c r="L22">
        <v>0.18055555555554292</v>
      </c>
      <c r="M22">
        <v>-3.7444444444444507</v>
      </c>
      <c r="N22">
        <v>-0.52555555555555555</v>
      </c>
      <c r="O22">
        <v>1.4366666666666661</v>
      </c>
      <c r="P22">
        <v>5.6991666666666658</v>
      </c>
      <c r="Q22">
        <v>45.699993097765386</v>
      </c>
      <c r="R22">
        <v>42.936389907855798</v>
      </c>
      <c r="S22">
        <v>11.964953399116686</v>
      </c>
      <c r="T22">
        <v>9.2013502092070993</v>
      </c>
      <c r="U22">
        <v>0.29743191363463822</v>
      </c>
      <c r="V22">
        <v>3.3695286810881919</v>
      </c>
      <c r="W22">
        <v>3.9022659996429252</v>
      </c>
      <c r="X22">
        <v>7.6509623343306243</v>
      </c>
      <c r="Z22">
        <f t="shared" si="0"/>
        <v>46.410999999999994</v>
      </c>
      <c r="AA22">
        <f t="shared" si="1"/>
        <v>42.041000000000025</v>
      </c>
      <c r="AB22">
        <f t="shared" si="2"/>
        <v>11.030999999999997</v>
      </c>
      <c r="AC22">
        <f t="shared" si="3"/>
        <v>9.6579999999999941</v>
      </c>
      <c r="AD22">
        <f t="shared" si="4"/>
        <v>0.28219999999999995</v>
      </c>
      <c r="AE22">
        <f t="shared" si="5"/>
        <v>3.7554999999999961</v>
      </c>
      <c r="AF22">
        <f t="shared" si="6"/>
        <v>4.2501000000000007</v>
      </c>
      <c r="AG22">
        <f t="shared" si="7"/>
        <v>8.0081999999999987</v>
      </c>
    </row>
    <row r="23" spans="1:33" x14ac:dyDescent="0.25">
      <c r="A23">
        <v>2011</v>
      </c>
      <c r="B23">
        <v>-3.0027777777777764</v>
      </c>
      <c r="C23">
        <v>-1.597222222222225</v>
      </c>
      <c r="D23">
        <v>0.40555555555556566</v>
      </c>
      <c r="E23">
        <v>1.32222222222223</v>
      </c>
      <c r="F23">
        <v>1.8472222222222285</v>
      </c>
      <c r="G23">
        <v>0.5250000000000199</v>
      </c>
      <c r="H23">
        <v>2.2833333333333314</v>
      </c>
      <c r="I23">
        <v>0.7722222222222257</v>
      </c>
      <c r="J23">
        <v>3.7555555555555671</v>
      </c>
      <c r="K23">
        <v>2.0388888888888843</v>
      </c>
      <c r="L23">
        <v>4.1805555555555429</v>
      </c>
      <c r="M23">
        <v>4.9555555555555486</v>
      </c>
      <c r="N23">
        <v>-0.10555555555555562</v>
      </c>
      <c r="O23">
        <v>0.76666666666666616</v>
      </c>
      <c r="P23">
        <v>0.48916666666666675</v>
      </c>
      <c r="Q23">
        <v>43.922020233600058</v>
      </c>
      <c r="R23">
        <v>41.643193317810152</v>
      </c>
      <c r="S23">
        <v>10.461509104253894</v>
      </c>
      <c r="T23">
        <v>8.1826821884639784</v>
      </c>
      <c r="U23">
        <v>0.25157861066698428</v>
      </c>
      <c r="V23">
        <v>3.6032540009587359</v>
      </c>
      <c r="W23">
        <v>4.039306005740154</v>
      </c>
      <c r="X23">
        <v>7.2901752699753501</v>
      </c>
      <c r="Z23">
        <f t="shared" si="0"/>
        <v>46.377599999999994</v>
      </c>
      <c r="AA23">
        <f t="shared" si="1"/>
        <v>41.946000000000026</v>
      </c>
      <c r="AB23">
        <f t="shared" si="2"/>
        <v>10.982299999999997</v>
      </c>
      <c r="AC23">
        <f t="shared" si="3"/>
        <v>9.5475999999999939</v>
      </c>
      <c r="AD23">
        <f t="shared" si="4"/>
        <v>0.27969999999999995</v>
      </c>
      <c r="AE23">
        <f t="shared" si="5"/>
        <v>3.7330999999999959</v>
      </c>
      <c r="AF23">
        <f t="shared" si="6"/>
        <v>4.2759000000000009</v>
      </c>
      <c r="AG23">
        <f t="shared" si="7"/>
        <v>7.9662999999999986</v>
      </c>
    </row>
    <row r="24" spans="1:33" x14ac:dyDescent="0.25">
      <c r="A24">
        <v>2012</v>
      </c>
      <c r="B24">
        <v>5.4972222222222236</v>
      </c>
      <c r="C24">
        <v>6.3027777777777736</v>
      </c>
      <c r="D24">
        <v>9.2055555555555628</v>
      </c>
      <c r="E24">
        <v>2.1222222222222342</v>
      </c>
      <c r="F24">
        <v>3.7472222222222271</v>
      </c>
      <c r="G24">
        <v>2.5000000000019895E-2</v>
      </c>
      <c r="H24">
        <v>2.2833333333333314</v>
      </c>
      <c r="I24">
        <v>1.9722222222222285</v>
      </c>
      <c r="J24">
        <v>0.65555555555555856</v>
      </c>
      <c r="K24">
        <v>3.3388888888888886</v>
      </c>
      <c r="L24">
        <v>-2.3194444444444571</v>
      </c>
      <c r="M24">
        <v>3.9555555555555486</v>
      </c>
      <c r="N24">
        <v>-0.60555555555555562</v>
      </c>
      <c r="O24">
        <v>-1.9833333333333336</v>
      </c>
      <c r="P24">
        <v>-2.9508333333333336</v>
      </c>
      <c r="Q24">
        <v>41.69824574952532</v>
      </c>
      <c r="R24">
        <v>41.040044987909418</v>
      </c>
      <c r="S24">
        <v>9.6302283298383689</v>
      </c>
      <c r="T24">
        <v>8.9720275682224653</v>
      </c>
      <c r="U24">
        <v>0.25598749388393144</v>
      </c>
      <c r="V24">
        <v>3.259203644237028</v>
      </c>
      <c r="W24">
        <v>3.9877001137314996</v>
      </c>
      <c r="X24">
        <v>6.7295098940802003</v>
      </c>
      <c r="Z24">
        <f t="shared" si="0"/>
        <v>46.344199999999994</v>
      </c>
      <c r="AA24">
        <f t="shared" si="1"/>
        <v>41.851000000000028</v>
      </c>
      <c r="AB24">
        <f t="shared" si="2"/>
        <v>10.933599999999997</v>
      </c>
      <c r="AC24">
        <f t="shared" si="3"/>
        <v>9.4371999999999936</v>
      </c>
      <c r="AD24">
        <f t="shared" si="4"/>
        <v>0.27719999999999995</v>
      </c>
      <c r="AE24">
        <f t="shared" si="5"/>
        <v>3.7106999999999957</v>
      </c>
      <c r="AF24">
        <f t="shared" si="6"/>
        <v>4.3017000000000012</v>
      </c>
      <c r="AG24">
        <f t="shared" si="7"/>
        <v>7.9243999999999986</v>
      </c>
    </row>
    <row r="25" spans="1:33" x14ac:dyDescent="0.25">
      <c r="A25">
        <v>2013</v>
      </c>
      <c r="B25">
        <v>2.597222222222225</v>
      </c>
      <c r="C25">
        <v>0.50277777777777288</v>
      </c>
      <c r="D25">
        <v>-0.59444444444443434</v>
      </c>
      <c r="E25">
        <v>-0.27777777777777146</v>
      </c>
      <c r="F25">
        <v>0.34722222222222854</v>
      </c>
      <c r="G25">
        <v>1.3250000000000171</v>
      </c>
      <c r="H25">
        <v>4.0833333333333428</v>
      </c>
      <c r="I25">
        <v>-1.3277777777777686</v>
      </c>
      <c r="J25">
        <v>-1.24444444444444</v>
      </c>
      <c r="K25">
        <v>2.0388888888888843</v>
      </c>
      <c r="L25">
        <v>-1.9194444444444585</v>
      </c>
      <c r="M25">
        <v>-0.94444444444444997</v>
      </c>
      <c r="N25">
        <v>-1.7455555555555555</v>
      </c>
      <c r="O25">
        <v>0.54666666666666641</v>
      </c>
      <c r="P25">
        <v>-1.9008333333333334</v>
      </c>
      <c r="Q25">
        <v>42.792904087170513</v>
      </c>
      <c r="R25">
        <v>42.036201146397715</v>
      </c>
      <c r="S25">
        <v>9.4730563839953703</v>
      </c>
      <c r="T25">
        <v>8.716353443222582</v>
      </c>
      <c r="U25">
        <v>0.25339412560474739</v>
      </c>
      <c r="V25">
        <v>3.5865518712479809</v>
      </c>
      <c r="W25">
        <v>4.2485847006549156</v>
      </c>
      <c r="X25">
        <v>7.3374776234823171</v>
      </c>
      <c r="Z25">
        <f t="shared" si="0"/>
        <v>46.310799999999993</v>
      </c>
      <c r="AA25">
        <f t="shared" si="1"/>
        <v>41.756000000000029</v>
      </c>
      <c r="AB25">
        <f t="shared" si="2"/>
        <v>10.884899999999996</v>
      </c>
      <c r="AC25">
        <f t="shared" si="3"/>
        <v>9.3267999999999933</v>
      </c>
      <c r="AD25">
        <f t="shared" si="4"/>
        <v>0.27469999999999994</v>
      </c>
      <c r="AE25">
        <f t="shared" si="5"/>
        <v>3.6882999999999955</v>
      </c>
      <c r="AF25">
        <f t="shared" si="6"/>
        <v>4.3275000000000015</v>
      </c>
      <c r="AG25">
        <f t="shared" si="7"/>
        <v>7.8824999999999985</v>
      </c>
    </row>
    <row r="26" spans="1:33" x14ac:dyDescent="0.25">
      <c r="A26">
        <v>2014</v>
      </c>
      <c r="B26">
        <v>-2.6027777777777743</v>
      </c>
      <c r="C26">
        <v>-3.6972222222222264</v>
      </c>
      <c r="D26">
        <v>-5.9944444444444329</v>
      </c>
      <c r="E26">
        <v>-0.87777777777776578</v>
      </c>
      <c r="F26">
        <v>0.44722222222222285</v>
      </c>
      <c r="G26">
        <v>0.42500000000001137</v>
      </c>
      <c r="H26">
        <v>8.3333333333342807E-2</v>
      </c>
      <c r="I26">
        <v>-1.6277777777777658</v>
      </c>
      <c r="J26">
        <v>0.95555555555556282</v>
      </c>
      <c r="K26">
        <v>2.7388888888888872</v>
      </c>
      <c r="L26">
        <v>-2.0194444444444528</v>
      </c>
      <c r="M26">
        <v>3.4555555555555486</v>
      </c>
      <c r="N26">
        <v>-0.66555555555555568</v>
      </c>
      <c r="O26">
        <v>0.34666666666666623</v>
      </c>
      <c r="P26">
        <v>-3.0833333333333712E-2</v>
      </c>
      <c r="Q26">
        <v>43.477042228209342</v>
      </c>
      <c r="R26">
        <v>42.11111531524547</v>
      </c>
      <c r="S26">
        <v>9.8118162788426488</v>
      </c>
      <c r="T26">
        <v>8.4458893658787755</v>
      </c>
      <c r="U26">
        <v>0.25219858102534487</v>
      </c>
      <c r="V26">
        <v>3.8163775257146941</v>
      </c>
      <c r="W26">
        <v>4.1956291755094357</v>
      </c>
      <c r="X26">
        <v>7.592732053934327</v>
      </c>
      <c r="Z26">
        <f t="shared" si="0"/>
        <v>46.277399999999993</v>
      </c>
      <c r="AA26">
        <f t="shared" si="1"/>
        <v>41.66100000000003</v>
      </c>
      <c r="AB26">
        <f t="shared" si="2"/>
        <v>10.836199999999996</v>
      </c>
      <c r="AC26">
        <f t="shared" si="3"/>
        <v>9.216399999999993</v>
      </c>
      <c r="AD26">
        <f t="shared" si="4"/>
        <v>0.27219999999999994</v>
      </c>
      <c r="AE26">
        <f t="shared" si="5"/>
        <v>3.6658999999999953</v>
      </c>
      <c r="AF26">
        <f t="shared" si="6"/>
        <v>4.3533000000000017</v>
      </c>
      <c r="AG26">
        <f t="shared" si="7"/>
        <v>7.8405999999999985</v>
      </c>
    </row>
    <row r="27" spans="1:33" x14ac:dyDescent="0.25">
      <c r="A27">
        <v>2015</v>
      </c>
      <c r="B27">
        <v>-2.902777777777775</v>
      </c>
      <c r="C27">
        <v>-12.897222222222226</v>
      </c>
      <c r="D27">
        <v>-5.5944444444444343</v>
      </c>
      <c r="E27">
        <v>-0.57777777777776862</v>
      </c>
      <c r="F27">
        <v>4.8472222222222285</v>
      </c>
      <c r="G27">
        <v>-1.0749999999999886</v>
      </c>
      <c r="H27">
        <v>0.38333333333333997</v>
      </c>
      <c r="I27">
        <v>1.9722222222222285</v>
      </c>
      <c r="J27">
        <v>5.1555555555555586</v>
      </c>
      <c r="K27">
        <v>3.888888888888431E-2</v>
      </c>
      <c r="L27">
        <v>4.3805555555555458</v>
      </c>
      <c r="M27">
        <v>11.55555555555555</v>
      </c>
      <c r="N27">
        <v>4.4444444444446951E-3</v>
      </c>
      <c r="O27">
        <v>-1.0633333333333339</v>
      </c>
      <c r="P27">
        <v>-1.2008333333333336</v>
      </c>
      <c r="Q27">
        <v>45.273153388990714</v>
      </c>
      <c r="R27">
        <v>43.363045364635447</v>
      </c>
      <c r="S27">
        <v>10.950615190338448</v>
      </c>
      <c r="T27">
        <v>9.0405071659831808</v>
      </c>
      <c r="U27">
        <v>0.25938868920717467</v>
      </c>
      <c r="V27">
        <v>4.3366759475936449</v>
      </c>
      <c r="W27">
        <v>4.0723360328795728</v>
      </c>
      <c r="X27">
        <v>7.7733156560086405</v>
      </c>
      <c r="Z27">
        <f t="shared" si="0"/>
        <v>46.243999999999993</v>
      </c>
      <c r="AA27">
        <f t="shared" si="1"/>
        <v>41.566000000000031</v>
      </c>
      <c r="AB27">
        <f t="shared" si="2"/>
        <v>10.787499999999996</v>
      </c>
      <c r="AC27">
        <f t="shared" si="3"/>
        <v>9.1059999999999928</v>
      </c>
      <c r="AD27">
        <f t="shared" si="4"/>
        <v>0.26969999999999994</v>
      </c>
      <c r="AE27">
        <f t="shared" si="5"/>
        <v>3.6434999999999951</v>
      </c>
      <c r="AF27">
        <f t="shared" si="6"/>
        <v>4.379100000000002</v>
      </c>
      <c r="AG27">
        <f t="shared" si="7"/>
        <v>7.7986999999999984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pre-tem_raw-month</vt:lpstr>
      <vt:lpstr>detrended-all-data</vt:lpstr>
      <vt:lpstr>Sheet3</vt:lpstr>
      <vt:lpstr>CT_tempanom_all</vt:lpstr>
      <vt:lpstr>CT_all_sector</vt:lpstr>
    </vt:vector>
  </TitlesOfParts>
  <Company>Connecticut DEEP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Cary Lynch</dc:creator>
  <cp:lastModifiedBy>Cary Lynch</cp:lastModifiedBy>
  <dcterms:created xsi:type="dcterms:W3CDTF">2018-09-04T18:06:41Z</dcterms:created>
  <dcterms:modified xsi:type="dcterms:W3CDTF">2018-09-18T20:35:35Z</dcterms:modified>
</cp:coreProperties>
</file>